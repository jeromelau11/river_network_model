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YSU_science\SYSU_china_runoff\水网系统\data\DATA_YC$JZ\水文数据\"/>
    </mc:Choice>
  </mc:AlternateContent>
  <xr:revisionPtr revIDLastSave="0" documentId="13_ncr:1_{4DFBDB89-C28E-4A7D-98AA-4CD5E44A6DE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20070606 -数据" sheetId="2" r:id="rId1"/>
    <sheet name="20080612-数据" sheetId="4" r:id="rId2"/>
    <sheet name="20080625-数据" sheetId="6" r:id="rId3"/>
    <sheet name="20090423-数据" sheetId="8" r:id="rId4"/>
    <sheet name="20100421-数据" sheetId="10" r:id="rId5"/>
    <sheet name="20100614-数据" sheetId="12" r:id="rId6"/>
    <sheet name="201110512-数据" sheetId="14" r:id="rId7"/>
    <sheet name="20120416-数据" sheetId="16" r:id="rId8"/>
    <sheet name="20120621-数据" sheetId="18" r:id="rId9"/>
    <sheet name="20130405-数据" sheetId="20" r:id="rId10"/>
    <sheet name="20130515-数据" sheetId="22" r:id="rId11"/>
    <sheet name="20130520-数据" sheetId="24" r:id="rId12"/>
    <sheet name="20130815-数据" sheetId="26" r:id="rId13"/>
    <sheet name="20140602-数据" sheetId="28" r:id="rId14"/>
    <sheet name="20140814-数据" sheetId="30" r:id="rId15"/>
    <sheet name="20150509-数据" sheetId="32" r:id="rId16"/>
    <sheet name="20150522-数据" sheetId="34" r:id="rId17"/>
    <sheet name="20160612-数据" sheetId="36" r:id="rId18"/>
    <sheet name="20160812-数据" sheetId="38" r:id="rId19"/>
    <sheet name="20170606-数据" sheetId="40" r:id="rId20"/>
    <sheet name="20170615-数据" sheetId="42" r:id="rId21"/>
    <sheet name="20170904-数据" sheetId="44" r:id="rId22"/>
    <sheet name="20190426-数据" sheetId="46" r:id="rId23"/>
    <sheet name="20190613-数据" sheetId="48" r:id="rId24"/>
    <sheet name="20210531-数据" sheetId="50" r:id="rId25"/>
  </sheets>
  <calcPr calcId="181029"/>
</workbook>
</file>

<file path=xl/calcChain.xml><?xml version="1.0" encoding="utf-8"?>
<calcChain xmlns="http://schemas.openxmlformats.org/spreadsheetml/2006/main">
  <c r="M4" i="50" l="1"/>
  <c r="M82" i="50"/>
  <c r="L82" i="50"/>
  <c r="M81" i="50"/>
  <c r="L81" i="50"/>
  <c r="M80" i="50"/>
  <c r="L80" i="50"/>
  <c r="M79" i="50"/>
  <c r="L79" i="50"/>
  <c r="M78" i="50"/>
  <c r="L78" i="50"/>
  <c r="M77" i="50"/>
  <c r="L77" i="50"/>
  <c r="M76" i="50"/>
  <c r="L76" i="50"/>
  <c r="M75" i="50"/>
  <c r="L75" i="50"/>
  <c r="M74" i="50"/>
  <c r="L74" i="50"/>
  <c r="M73" i="50"/>
  <c r="L73" i="50"/>
  <c r="M72" i="50"/>
  <c r="L72" i="50"/>
  <c r="M71" i="50"/>
  <c r="L71" i="50"/>
  <c r="M70" i="50"/>
  <c r="L70" i="50"/>
  <c r="M69" i="50"/>
  <c r="L69" i="50"/>
  <c r="M68" i="50"/>
  <c r="L68" i="50"/>
  <c r="M67" i="50"/>
  <c r="L67" i="50"/>
  <c r="M66" i="50"/>
  <c r="L66" i="50"/>
  <c r="M65" i="50"/>
  <c r="L65" i="50"/>
  <c r="M64" i="50"/>
  <c r="L64" i="50"/>
  <c r="M63" i="50"/>
  <c r="L63" i="50"/>
  <c r="M62" i="50"/>
  <c r="L62" i="50"/>
  <c r="M61" i="50"/>
  <c r="L61" i="50"/>
  <c r="M60" i="50"/>
  <c r="L60" i="50"/>
  <c r="M59" i="50"/>
  <c r="L59" i="50"/>
  <c r="M58" i="50"/>
  <c r="L58" i="50"/>
  <c r="M57" i="50"/>
  <c r="L57" i="50"/>
  <c r="M56" i="50"/>
  <c r="L56" i="50"/>
  <c r="M55" i="50"/>
  <c r="L55" i="50"/>
  <c r="M54" i="50"/>
  <c r="L54" i="50"/>
  <c r="M53" i="50"/>
  <c r="L53" i="50"/>
  <c r="M52" i="50"/>
  <c r="L52" i="50"/>
  <c r="M51" i="50"/>
  <c r="L51" i="50"/>
  <c r="M50" i="50"/>
  <c r="L50" i="50"/>
  <c r="M49" i="50"/>
  <c r="L49" i="50"/>
  <c r="M48" i="50"/>
  <c r="L48" i="50"/>
  <c r="M47" i="50"/>
  <c r="L47" i="50"/>
  <c r="M46" i="50"/>
  <c r="L46" i="50"/>
  <c r="M45" i="50"/>
  <c r="L45" i="50"/>
  <c r="M44" i="50"/>
  <c r="L44" i="50"/>
  <c r="M43" i="50"/>
  <c r="L43" i="50"/>
  <c r="M42" i="50"/>
  <c r="L42" i="50"/>
  <c r="M41" i="50"/>
  <c r="L41" i="50"/>
  <c r="M40" i="50"/>
  <c r="L40" i="50"/>
  <c r="M39" i="50"/>
  <c r="L39" i="50"/>
  <c r="M38" i="50"/>
  <c r="L38" i="50"/>
  <c r="M37" i="50"/>
  <c r="L37" i="50"/>
  <c r="M36" i="50"/>
  <c r="L36" i="50"/>
  <c r="M35" i="50"/>
  <c r="L35" i="50"/>
  <c r="M34" i="50"/>
  <c r="L34" i="50"/>
  <c r="M33" i="50"/>
  <c r="L33" i="50"/>
  <c r="M32" i="50"/>
  <c r="L32" i="50"/>
  <c r="M31" i="50"/>
  <c r="L31" i="50"/>
  <c r="M30" i="50"/>
  <c r="L30" i="50"/>
  <c r="M29" i="50"/>
  <c r="L29" i="50"/>
  <c r="M28" i="50"/>
  <c r="L28" i="50"/>
  <c r="M27" i="50"/>
  <c r="L27" i="50"/>
  <c r="M26" i="50"/>
  <c r="L26" i="50"/>
  <c r="M25" i="50"/>
  <c r="L25" i="50"/>
  <c r="M24" i="50"/>
  <c r="L24" i="50"/>
  <c r="M23" i="50"/>
  <c r="L23" i="50"/>
  <c r="M22" i="50"/>
  <c r="L22" i="50"/>
  <c r="M21" i="50"/>
  <c r="L21" i="50"/>
  <c r="M20" i="50"/>
  <c r="L20" i="50"/>
  <c r="M19" i="50"/>
  <c r="L19" i="50"/>
  <c r="M18" i="50"/>
  <c r="L18" i="50"/>
  <c r="M17" i="50"/>
  <c r="L17" i="50"/>
  <c r="M16" i="50"/>
  <c r="L16" i="50"/>
  <c r="M15" i="50"/>
  <c r="L15" i="50"/>
  <c r="M14" i="50"/>
  <c r="L14" i="50"/>
  <c r="M13" i="50"/>
  <c r="L13" i="50"/>
  <c r="M12" i="50"/>
  <c r="L12" i="50"/>
  <c r="M11" i="50"/>
  <c r="L11" i="50"/>
  <c r="M10" i="50"/>
  <c r="L10" i="50"/>
  <c r="M9" i="50"/>
  <c r="L9" i="50"/>
  <c r="M8" i="50"/>
  <c r="L8" i="50"/>
  <c r="M7" i="50"/>
  <c r="L7" i="50"/>
  <c r="M6" i="50"/>
  <c r="L6" i="50"/>
  <c r="M5" i="50"/>
  <c r="L5" i="50"/>
  <c r="L4" i="50"/>
  <c r="M35" i="48"/>
  <c r="L35" i="48"/>
  <c r="M34" i="48"/>
  <c r="L34" i="48"/>
  <c r="M33" i="48"/>
  <c r="L33" i="48"/>
  <c r="M32" i="48"/>
  <c r="L32" i="48"/>
  <c r="M31" i="48"/>
  <c r="L31" i="48"/>
  <c r="M30" i="48"/>
  <c r="L30" i="48"/>
  <c r="M29" i="48"/>
  <c r="L29" i="48"/>
  <c r="M28" i="48"/>
  <c r="L28" i="48"/>
  <c r="M27" i="48"/>
  <c r="L27" i="48"/>
  <c r="M26" i="48"/>
  <c r="L26" i="48"/>
  <c r="M25" i="48"/>
  <c r="L25" i="48"/>
  <c r="M24" i="48"/>
  <c r="L24" i="48"/>
  <c r="M23" i="48"/>
  <c r="L23" i="48"/>
  <c r="M22" i="48"/>
  <c r="L22" i="48"/>
  <c r="M21" i="48"/>
  <c r="L21" i="48"/>
  <c r="M20" i="48"/>
  <c r="L20" i="48"/>
  <c r="M19" i="48"/>
  <c r="L19" i="48"/>
  <c r="M18" i="48"/>
  <c r="L18" i="48"/>
  <c r="M17" i="48"/>
  <c r="L17" i="48"/>
  <c r="M16" i="48"/>
  <c r="L16" i="48"/>
  <c r="M15" i="48"/>
  <c r="L15" i="48"/>
  <c r="M14" i="48"/>
  <c r="L14" i="48"/>
  <c r="M13" i="48"/>
  <c r="L13" i="48"/>
  <c r="M12" i="48"/>
  <c r="L12" i="48"/>
  <c r="M11" i="48"/>
  <c r="L11" i="48"/>
  <c r="M10" i="48"/>
  <c r="L10" i="48"/>
  <c r="M9" i="48"/>
  <c r="L9" i="48"/>
  <c r="M8" i="48"/>
  <c r="L8" i="48"/>
  <c r="M7" i="48"/>
  <c r="L7" i="48"/>
  <c r="M6" i="48"/>
  <c r="L6" i="48"/>
  <c r="M5" i="48"/>
  <c r="L5" i="48"/>
  <c r="M4" i="48"/>
  <c r="L4" i="48"/>
  <c r="M25" i="46"/>
  <c r="L25" i="46"/>
  <c r="M24" i="46"/>
  <c r="L24" i="46"/>
  <c r="M23" i="46"/>
  <c r="L23" i="46"/>
  <c r="M22" i="46"/>
  <c r="L22" i="46"/>
  <c r="M21" i="46"/>
  <c r="L21" i="46"/>
  <c r="M20" i="46"/>
  <c r="L20" i="46"/>
  <c r="M19" i="46"/>
  <c r="L19" i="46"/>
  <c r="M18" i="46"/>
  <c r="L18" i="46"/>
  <c r="M17" i="46"/>
  <c r="L17" i="46"/>
  <c r="M16" i="46"/>
  <c r="L16" i="46"/>
  <c r="M15" i="46"/>
  <c r="L15" i="46"/>
  <c r="M14" i="46"/>
  <c r="L14" i="46"/>
  <c r="M13" i="46"/>
  <c r="L13" i="46"/>
  <c r="M12" i="46"/>
  <c r="L12" i="46"/>
  <c r="M11" i="46"/>
  <c r="L11" i="46"/>
  <c r="M10" i="46"/>
  <c r="L10" i="46"/>
  <c r="M9" i="46"/>
  <c r="L9" i="46"/>
  <c r="M8" i="46"/>
  <c r="L8" i="46"/>
  <c r="M7" i="46"/>
  <c r="L7" i="46"/>
  <c r="M6" i="46"/>
  <c r="L6" i="46"/>
  <c r="M5" i="46"/>
  <c r="L5" i="46"/>
  <c r="M4" i="46"/>
  <c r="L4" i="46"/>
  <c r="M55" i="44"/>
  <c r="L55" i="44"/>
  <c r="M54" i="44"/>
  <c r="L54" i="44"/>
  <c r="M53" i="44"/>
  <c r="L53" i="44"/>
  <c r="M52" i="44"/>
  <c r="L52" i="44"/>
  <c r="M51" i="44"/>
  <c r="L51" i="44"/>
  <c r="M50" i="44"/>
  <c r="L50" i="44"/>
  <c r="M49" i="44"/>
  <c r="L49" i="44"/>
  <c r="M48" i="44"/>
  <c r="L48" i="44"/>
  <c r="M47" i="44"/>
  <c r="L47" i="44"/>
  <c r="M46" i="44"/>
  <c r="L46" i="44"/>
  <c r="M45" i="44"/>
  <c r="L45" i="44"/>
  <c r="M44" i="44"/>
  <c r="L44" i="44"/>
  <c r="M43" i="44"/>
  <c r="L43" i="44"/>
  <c r="M42" i="44"/>
  <c r="L42" i="44"/>
  <c r="M41" i="44"/>
  <c r="L41" i="44"/>
  <c r="M40" i="44"/>
  <c r="L40" i="44"/>
  <c r="M39" i="44"/>
  <c r="L39" i="44"/>
  <c r="M38" i="44"/>
  <c r="L38" i="44"/>
  <c r="M37" i="44"/>
  <c r="L37" i="44"/>
  <c r="M36" i="44"/>
  <c r="L36" i="44"/>
  <c r="M35" i="44"/>
  <c r="L35" i="44"/>
  <c r="M34" i="44"/>
  <c r="L34" i="44"/>
  <c r="M33" i="44"/>
  <c r="L33" i="44"/>
  <c r="M32" i="44"/>
  <c r="L32" i="44"/>
  <c r="M31" i="44"/>
  <c r="L31" i="44"/>
  <c r="M30" i="44"/>
  <c r="L30" i="44"/>
  <c r="M29" i="44"/>
  <c r="L29" i="44"/>
  <c r="M28" i="44"/>
  <c r="L28" i="44"/>
  <c r="M27" i="44"/>
  <c r="L27" i="44"/>
  <c r="M26" i="44"/>
  <c r="L26" i="44"/>
  <c r="M25" i="44"/>
  <c r="L25" i="44"/>
  <c r="M24" i="44"/>
  <c r="L24" i="44"/>
  <c r="M23" i="44"/>
  <c r="L23" i="44"/>
  <c r="M22" i="44"/>
  <c r="L22" i="44"/>
  <c r="M21" i="44"/>
  <c r="L21" i="44"/>
  <c r="M20" i="44"/>
  <c r="L20" i="44"/>
  <c r="M19" i="44"/>
  <c r="L19" i="44"/>
  <c r="M18" i="44"/>
  <c r="L18" i="44"/>
  <c r="M17" i="44"/>
  <c r="L17" i="44"/>
  <c r="M16" i="44"/>
  <c r="L16" i="44"/>
  <c r="M15" i="44"/>
  <c r="L15" i="44"/>
  <c r="M14" i="44"/>
  <c r="L14" i="44"/>
  <c r="M13" i="44"/>
  <c r="L13" i="44"/>
  <c r="M12" i="44"/>
  <c r="L12" i="44"/>
  <c r="M11" i="44"/>
  <c r="L11" i="44"/>
  <c r="M10" i="44"/>
  <c r="L10" i="44"/>
  <c r="M9" i="44"/>
  <c r="L9" i="44"/>
  <c r="M8" i="44"/>
  <c r="L8" i="44"/>
  <c r="M7" i="44"/>
  <c r="L7" i="44"/>
  <c r="M6" i="44"/>
  <c r="L6" i="44"/>
  <c r="M5" i="44"/>
  <c r="L5" i="44"/>
  <c r="M4" i="44"/>
  <c r="L4" i="44"/>
  <c r="M69" i="42"/>
  <c r="L69" i="42"/>
  <c r="M68" i="42"/>
  <c r="L68" i="42"/>
  <c r="M67" i="42"/>
  <c r="L67" i="42"/>
  <c r="M66" i="42"/>
  <c r="L66" i="42"/>
  <c r="M65" i="42"/>
  <c r="L65" i="42"/>
  <c r="M64" i="42"/>
  <c r="L64" i="42"/>
  <c r="M63" i="42"/>
  <c r="L63" i="42"/>
  <c r="M62" i="42"/>
  <c r="L62" i="42"/>
  <c r="M61" i="42"/>
  <c r="L61" i="42"/>
  <c r="M60" i="42"/>
  <c r="L60" i="42"/>
  <c r="M59" i="42"/>
  <c r="L59" i="42"/>
  <c r="M58" i="42"/>
  <c r="L58" i="42"/>
  <c r="M57" i="42"/>
  <c r="L57" i="42"/>
  <c r="M56" i="42"/>
  <c r="L56" i="42"/>
  <c r="M55" i="42"/>
  <c r="L55" i="42"/>
  <c r="M54" i="42"/>
  <c r="L54" i="42"/>
  <c r="M53" i="42"/>
  <c r="L53" i="42"/>
  <c r="M52" i="42"/>
  <c r="L52" i="42"/>
  <c r="M51" i="42"/>
  <c r="L51" i="42"/>
  <c r="M50" i="42"/>
  <c r="L50" i="42"/>
  <c r="M49" i="42"/>
  <c r="L49" i="42"/>
  <c r="M48" i="42"/>
  <c r="L48" i="42"/>
  <c r="M47" i="42"/>
  <c r="L47" i="42"/>
  <c r="M46" i="42"/>
  <c r="L46" i="42"/>
  <c r="M45" i="42"/>
  <c r="L45" i="42"/>
  <c r="M44" i="42"/>
  <c r="L44" i="42"/>
  <c r="M43" i="42"/>
  <c r="L43" i="42"/>
  <c r="M42" i="42"/>
  <c r="L42" i="42"/>
  <c r="M41" i="42"/>
  <c r="L41" i="42"/>
  <c r="M40" i="42"/>
  <c r="L40" i="42"/>
  <c r="M39" i="42"/>
  <c r="L39" i="42"/>
  <c r="M38" i="42"/>
  <c r="L38" i="42"/>
  <c r="M37" i="42"/>
  <c r="L37" i="42"/>
  <c r="M36" i="42"/>
  <c r="L36" i="42"/>
  <c r="M35" i="42"/>
  <c r="L35" i="42"/>
  <c r="M34" i="42"/>
  <c r="L34" i="42"/>
  <c r="M33" i="42"/>
  <c r="L33" i="42"/>
  <c r="M32" i="42"/>
  <c r="L32" i="42"/>
  <c r="M31" i="42"/>
  <c r="L31" i="42"/>
  <c r="M30" i="42"/>
  <c r="L30" i="42"/>
  <c r="M29" i="42"/>
  <c r="L29" i="42"/>
  <c r="M28" i="42"/>
  <c r="L28" i="42"/>
  <c r="M27" i="42"/>
  <c r="L27" i="42"/>
  <c r="M26" i="42"/>
  <c r="L26" i="42"/>
  <c r="M25" i="42"/>
  <c r="L25" i="42"/>
  <c r="M24" i="42"/>
  <c r="L24" i="42"/>
  <c r="M23" i="42"/>
  <c r="L23" i="42"/>
  <c r="M22" i="42"/>
  <c r="L22" i="42"/>
  <c r="M21" i="42"/>
  <c r="L21" i="42"/>
  <c r="M20" i="42"/>
  <c r="L20" i="42"/>
  <c r="M19" i="42"/>
  <c r="L19" i="42"/>
  <c r="M18" i="42"/>
  <c r="L18" i="42"/>
  <c r="M17" i="42"/>
  <c r="L17" i="42"/>
  <c r="M16" i="42"/>
  <c r="L16" i="42"/>
  <c r="M15" i="42"/>
  <c r="L15" i="42"/>
  <c r="M14" i="42"/>
  <c r="L14" i="42"/>
  <c r="M13" i="42"/>
  <c r="L13" i="42"/>
  <c r="M12" i="42"/>
  <c r="L12" i="42"/>
  <c r="M11" i="42"/>
  <c r="L11" i="42"/>
  <c r="M10" i="42"/>
  <c r="L10" i="42"/>
  <c r="M9" i="42"/>
  <c r="L9" i="42"/>
  <c r="M8" i="42"/>
  <c r="L8" i="42"/>
  <c r="M7" i="42"/>
  <c r="L7" i="42"/>
  <c r="M6" i="42"/>
  <c r="L6" i="42"/>
  <c r="M5" i="42"/>
  <c r="L5" i="42"/>
  <c r="M4" i="42"/>
  <c r="L4" i="42"/>
  <c r="M28" i="40"/>
  <c r="L28" i="40"/>
  <c r="M27" i="40"/>
  <c r="L27" i="40"/>
  <c r="M26" i="40"/>
  <c r="L26" i="40"/>
  <c r="M25" i="40"/>
  <c r="L25" i="40"/>
  <c r="M24" i="40"/>
  <c r="L24" i="40"/>
  <c r="M23" i="40"/>
  <c r="L23" i="40"/>
  <c r="M22" i="40"/>
  <c r="L22" i="40"/>
  <c r="M21" i="40"/>
  <c r="L21" i="40"/>
  <c r="M20" i="40"/>
  <c r="L20" i="40"/>
  <c r="M19" i="40"/>
  <c r="L19" i="40"/>
  <c r="M18" i="40"/>
  <c r="L18" i="40"/>
  <c r="M17" i="40"/>
  <c r="L17" i="40"/>
  <c r="M16" i="40"/>
  <c r="L16" i="40"/>
  <c r="M15" i="40"/>
  <c r="L15" i="40"/>
  <c r="M14" i="40"/>
  <c r="L14" i="40"/>
  <c r="M13" i="40"/>
  <c r="L13" i="40"/>
  <c r="M12" i="40"/>
  <c r="L12" i="40"/>
  <c r="M11" i="40"/>
  <c r="L11" i="40"/>
  <c r="M10" i="40"/>
  <c r="L10" i="40"/>
  <c r="M9" i="40"/>
  <c r="L9" i="40"/>
  <c r="M8" i="40"/>
  <c r="L8" i="40"/>
  <c r="M7" i="40"/>
  <c r="L7" i="40"/>
  <c r="M6" i="40"/>
  <c r="L6" i="40"/>
  <c r="M5" i="40"/>
  <c r="L5" i="40"/>
  <c r="M4" i="40"/>
  <c r="L4" i="40"/>
  <c r="M31" i="38"/>
  <c r="L31" i="38"/>
  <c r="M30" i="38"/>
  <c r="L30" i="38"/>
  <c r="M29" i="38"/>
  <c r="L29" i="38"/>
  <c r="M28" i="38"/>
  <c r="L28" i="38"/>
  <c r="M27" i="38"/>
  <c r="L27" i="38"/>
  <c r="M26" i="38"/>
  <c r="L26" i="38"/>
  <c r="M25" i="38"/>
  <c r="L25" i="38"/>
  <c r="M24" i="38"/>
  <c r="L24" i="38"/>
  <c r="M23" i="38"/>
  <c r="L23" i="38"/>
  <c r="M22" i="38"/>
  <c r="L22" i="38"/>
  <c r="M21" i="38"/>
  <c r="L21" i="38"/>
  <c r="M20" i="38"/>
  <c r="L20" i="38"/>
  <c r="M19" i="38"/>
  <c r="L19" i="38"/>
  <c r="M18" i="38"/>
  <c r="L18" i="38"/>
  <c r="M17" i="38"/>
  <c r="L17" i="38"/>
  <c r="M16" i="38"/>
  <c r="L16" i="38"/>
  <c r="M15" i="38"/>
  <c r="L15" i="38"/>
  <c r="M14" i="38"/>
  <c r="L14" i="38"/>
  <c r="M13" i="38"/>
  <c r="L13" i="38"/>
  <c r="M12" i="38"/>
  <c r="L12" i="38"/>
  <c r="M11" i="38"/>
  <c r="L11" i="38"/>
  <c r="M10" i="38"/>
  <c r="L10" i="38"/>
  <c r="M9" i="38"/>
  <c r="L9" i="38"/>
  <c r="M8" i="38"/>
  <c r="L8" i="38"/>
  <c r="M7" i="38"/>
  <c r="L7" i="38"/>
  <c r="M6" i="38"/>
  <c r="L6" i="38"/>
  <c r="M5" i="38"/>
  <c r="L5" i="38"/>
  <c r="M4" i="38"/>
  <c r="L4" i="38"/>
  <c r="M76" i="36"/>
  <c r="L76" i="36"/>
  <c r="M75" i="36"/>
  <c r="L75" i="36"/>
  <c r="M74" i="36"/>
  <c r="L74" i="36"/>
  <c r="M73" i="36"/>
  <c r="L73" i="36"/>
  <c r="M72" i="36"/>
  <c r="L72" i="36"/>
  <c r="M71" i="36"/>
  <c r="L71" i="36"/>
  <c r="M70" i="36"/>
  <c r="L70" i="36"/>
  <c r="M69" i="36"/>
  <c r="L69" i="36"/>
  <c r="M68" i="36"/>
  <c r="L68" i="36"/>
  <c r="M67" i="36"/>
  <c r="L67" i="36"/>
  <c r="M66" i="36"/>
  <c r="L66" i="36"/>
  <c r="M65" i="36"/>
  <c r="L65" i="36"/>
  <c r="M64" i="36"/>
  <c r="L64" i="36"/>
  <c r="M63" i="36"/>
  <c r="L63" i="36"/>
  <c r="M62" i="36"/>
  <c r="L62" i="36"/>
  <c r="M61" i="36"/>
  <c r="L61" i="36"/>
  <c r="M60" i="36"/>
  <c r="L60" i="36"/>
  <c r="M59" i="36"/>
  <c r="L59" i="36"/>
  <c r="M58" i="36"/>
  <c r="L58" i="36"/>
  <c r="M57" i="36"/>
  <c r="L57" i="36"/>
  <c r="M56" i="36"/>
  <c r="L56" i="36"/>
  <c r="M55" i="36"/>
  <c r="L55" i="36"/>
  <c r="M54" i="36"/>
  <c r="L54" i="36"/>
  <c r="M53" i="36"/>
  <c r="L53" i="36"/>
  <c r="M52" i="36"/>
  <c r="L52" i="36"/>
  <c r="M51" i="36"/>
  <c r="L51" i="36"/>
  <c r="M50" i="36"/>
  <c r="L50" i="36"/>
  <c r="M49" i="36"/>
  <c r="L49" i="36"/>
  <c r="M48" i="36"/>
  <c r="L48" i="36"/>
  <c r="M47" i="36"/>
  <c r="L47" i="36"/>
  <c r="M46" i="36"/>
  <c r="L46" i="36"/>
  <c r="M45" i="36"/>
  <c r="L45" i="36"/>
  <c r="M44" i="36"/>
  <c r="L44" i="36"/>
  <c r="M43" i="36"/>
  <c r="L43" i="36"/>
  <c r="M42" i="36"/>
  <c r="L42" i="36"/>
  <c r="M41" i="36"/>
  <c r="L41" i="36"/>
  <c r="M40" i="36"/>
  <c r="L40" i="36"/>
  <c r="M39" i="36"/>
  <c r="L39" i="36"/>
  <c r="M38" i="36"/>
  <c r="L38" i="36"/>
  <c r="M37" i="36"/>
  <c r="L37" i="36"/>
  <c r="M36" i="36"/>
  <c r="L36" i="36"/>
  <c r="M35" i="36"/>
  <c r="L35" i="36"/>
  <c r="M34" i="36"/>
  <c r="L34" i="36"/>
  <c r="M33" i="36"/>
  <c r="L33" i="36"/>
  <c r="M32" i="36"/>
  <c r="L32" i="36"/>
  <c r="M31" i="36"/>
  <c r="L31" i="36"/>
  <c r="M30" i="36"/>
  <c r="L30" i="36"/>
  <c r="M29" i="36"/>
  <c r="L29" i="36"/>
  <c r="M28" i="36"/>
  <c r="L28" i="36"/>
  <c r="M27" i="36"/>
  <c r="L27" i="36"/>
  <c r="M26" i="36"/>
  <c r="L26" i="36"/>
  <c r="M25" i="36"/>
  <c r="L25" i="36"/>
  <c r="M24" i="36"/>
  <c r="L24" i="36"/>
  <c r="M23" i="36"/>
  <c r="L23" i="36"/>
  <c r="M22" i="36"/>
  <c r="L22" i="36"/>
  <c r="M21" i="36"/>
  <c r="L21" i="36"/>
  <c r="M20" i="36"/>
  <c r="L20" i="36"/>
  <c r="M19" i="36"/>
  <c r="L19" i="36"/>
  <c r="M18" i="36"/>
  <c r="L18" i="36"/>
  <c r="M17" i="36"/>
  <c r="L17" i="36"/>
  <c r="M16" i="36"/>
  <c r="L16" i="36"/>
  <c r="M15" i="36"/>
  <c r="L15" i="36"/>
  <c r="M14" i="36"/>
  <c r="L14" i="36"/>
  <c r="M13" i="36"/>
  <c r="L13" i="36"/>
  <c r="M12" i="36"/>
  <c r="L12" i="36"/>
  <c r="M11" i="36"/>
  <c r="L11" i="36"/>
  <c r="M10" i="36"/>
  <c r="L10" i="36"/>
  <c r="M9" i="36"/>
  <c r="L9" i="36"/>
  <c r="M8" i="36"/>
  <c r="L8" i="36"/>
  <c r="M7" i="36"/>
  <c r="L7" i="36"/>
  <c r="M6" i="36"/>
  <c r="L6" i="36"/>
  <c r="M5" i="36"/>
  <c r="L5" i="36"/>
  <c r="M4" i="36"/>
  <c r="L4" i="36"/>
  <c r="M133" i="34"/>
  <c r="L133" i="34"/>
  <c r="M132" i="34"/>
  <c r="L132" i="34"/>
  <c r="M131" i="34"/>
  <c r="L131" i="34"/>
  <c r="M130" i="34"/>
  <c r="L130" i="34"/>
  <c r="M129" i="34"/>
  <c r="L129" i="34"/>
  <c r="M128" i="34"/>
  <c r="L128" i="34"/>
  <c r="M127" i="34"/>
  <c r="L127" i="34"/>
  <c r="M126" i="34"/>
  <c r="L126" i="34"/>
  <c r="M125" i="34"/>
  <c r="L125" i="34"/>
  <c r="M124" i="34"/>
  <c r="L124" i="34"/>
  <c r="M123" i="34"/>
  <c r="L123" i="34"/>
  <c r="M122" i="34"/>
  <c r="L122" i="34"/>
  <c r="M121" i="34"/>
  <c r="L121" i="34"/>
  <c r="M120" i="34"/>
  <c r="L120" i="34"/>
  <c r="M119" i="34"/>
  <c r="L119" i="34"/>
  <c r="M118" i="34"/>
  <c r="L118" i="34"/>
  <c r="M117" i="34"/>
  <c r="L117" i="34"/>
  <c r="M116" i="34"/>
  <c r="L116" i="34"/>
  <c r="M115" i="34"/>
  <c r="L115" i="34"/>
  <c r="M114" i="34"/>
  <c r="L114" i="34"/>
  <c r="M113" i="34"/>
  <c r="L113" i="34"/>
  <c r="M112" i="34"/>
  <c r="L112" i="34"/>
  <c r="M111" i="34"/>
  <c r="L111" i="34"/>
  <c r="M110" i="34"/>
  <c r="L110" i="34"/>
  <c r="M109" i="34"/>
  <c r="L109" i="34"/>
  <c r="M108" i="34"/>
  <c r="L108" i="34"/>
  <c r="M107" i="34"/>
  <c r="L107" i="34"/>
  <c r="M106" i="34"/>
  <c r="L106" i="34"/>
  <c r="M105" i="34"/>
  <c r="L105" i="34"/>
  <c r="M104" i="34"/>
  <c r="L104" i="34"/>
  <c r="M103" i="34"/>
  <c r="L103" i="34"/>
  <c r="M102" i="34"/>
  <c r="L102" i="34"/>
  <c r="M101" i="34"/>
  <c r="L101" i="34"/>
  <c r="M100" i="34"/>
  <c r="L100" i="34"/>
  <c r="M99" i="34"/>
  <c r="L99" i="34"/>
  <c r="M98" i="34"/>
  <c r="L98" i="34"/>
  <c r="M97" i="34"/>
  <c r="L97" i="34"/>
  <c r="M96" i="34"/>
  <c r="L96" i="34"/>
  <c r="M95" i="34"/>
  <c r="L95" i="34"/>
  <c r="M94" i="34"/>
  <c r="L94" i="34"/>
  <c r="M93" i="34"/>
  <c r="L93" i="34"/>
  <c r="M92" i="34"/>
  <c r="L92" i="34"/>
  <c r="M91" i="34"/>
  <c r="L91" i="34"/>
  <c r="M90" i="34"/>
  <c r="L90" i="34"/>
  <c r="M89" i="34"/>
  <c r="L89" i="34"/>
  <c r="M88" i="34"/>
  <c r="L88" i="34"/>
  <c r="M87" i="34"/>
  <c r="L87" i="34"/>
  <c r="M86" i="34"/>
  <c r="L86" i="34"/>
  <c r="M85" i="34"/>
  <c r="L85" i="34"/>
  <c r="M84" i="34"/>
  <c r="L84" i="34"/>
  <c r="M83" i="34"/>
  <c r="L83" i="34"/>
  <c r="M82" i="34"/>
  <c r="L82" i="34"/>
  <c r="M81" i="34"/>
  <c r="L81" i="34"/>
  <c r="M80" i="34"/>
  <c r="L80" i="34"/>
  <c r="M79" i="34"/>
  <c r="L79" i="34"/>
  <c r="M78" i="34"/>
  <c r="L78" i="34"/>
  <c r="M77" i="34"/>
  <c r="L77" i="34"/>
  <c r="M76" i="34"/>
  <c r="L76" i="34"/>
  <c r="M75" i="34"/>
  <c r="L75" i="34"/>
  <c r="M74" i="34"/>
  <c r="L74" i="34"/>
  <c r="M73" i="34"/>
  <c r="L73" i="34"/>
  <c r="M72" i="34"/>
  <c r="L72" i="34"/>
  <c r="M71" i="34"/>
  <c r="L71" i="34"/>
  <c r="M70" i="34"/>
  <c r="L70" i="34"/>
  <c r="M69" i="34"/>
  <c r="L69" i="34"/>
  <c r="M68" i="34"/>
  <c r="L68" i="34"/>
  <c r="M67" i="34"/>
  <c r="L67" i="34"/>
  <c r="M66" i="34"/>
  <c r="L66" i="34"/>
  <c r="M65" i="34"/>
  <c r="L65" i="34"/>
  <c r="M64" i="34"/>
  <c r="L64" i="34"/>
  <c r="M63" i="34"/>
  <c r="L63" i="34"/>
  <c r="M62" i="34"/>
  <c r="L62" i="34"/>
  <c r="M61" i="34"/>
  <c r="L61" i="34"/>
  <c r="M60" i="34"/>
  <c r="L60" i="34"/>
  <c r="M59" i="34"/>
  <c r="L59" i="34"/>
  <c r="M58" i="34"/>
  <c r="L58" i="34"/>
  <c r="M57" i="34"/>
  <c r="L57" i="34"/>
  <c r="M56" i="34"/>
  <c r="L56" i="34"/>
  <c r="M55" i="34"/>
  <c r="L55" i="34"/>
  <c r="M54" i="34"/>
  <c r="L54" i="34"/>
  <c r="M53" i="34"/>
  <c r="L53" i="34"/>
  <c r="M52" i="34"/>
  <c r="L52" i="34"/>
  <c r="M51" i="34"/>
  <c r="L51" i="34"/>
  <c r="M50" i="34"/>
  <c r="L50" i="34"/>
  <c r="M49" i="34"/>
  <c r="L49" i="34"/>
  <c r="M48" i="34"/>
  <c r="L48" i="34"/>
  <c r="M47" i="34"/>
  <c r="L47" i="34"/>
  <c r="M46" i="34"/>
  <c r="L46" i="34"/>
  <c r="M45" i="34"/>
  <c r="L45" i="34"/>
  <c r="M44" i="34"/>
  <c r="L44" i="34"/>
  <c r="M43" i="34"/>
  <c r="L43" i="34"/>
  <c r="M42" i="34"/>
  <c r="L42" i="34"/>
  <c r="M41" i="34"/>
  <c r="L41" i="34"/>
  <c r="M40" i="34"/>
  <c r="L40" i="34"/>
  <c r="M39" i="34"/>
  <c r="L39" i="34"/>
  <c r="M38" i="34"/>
  <c r="L38" i="34"/>
  <c r="M37" i="34"/>
  <c r="L37" i="34"/>
  <c r="M36" i="34"/>
  <c r="L36" i="34"/>
  <c r="M35" i="34"/>
  <c r="L35" i="34"/>
  <c r="M34" i="34"/>
  <c r="L34" i="34"/>
  <c r="M33" i="34"/>
  <c r="L33" i="34"/>
  <c r="M32" i="34"/>
  <c r="L32" i="34"/>
  <c r="M31" i="34"/>
  <c r="L31" i="34"/>
  <c r="M30" i="34"/>
  <c r="L30" i="34"/>
  <c r="M29" i="34"/>
  <c r="L29" i="34"/>
  <c r="M28" i="34"/>
  <c r="L28" i="34"/>
  <c r="M27" i="34"/>
  <c r="L27" i="34"/>
  <c r="M26" i="34"/>
  <c r="L26" i="34"/>
  <c r="M25" i="34"/>
  <c r="L25" i="34"/>
  <c r="M24" i="34"/>
  <c r="L24" i="34"/>
  <c r="M23" i="34"/>
  <c r="L23" i="34"/>
  <c r="M22" i="34"/>
  <c r="L22" i="34"/>
  <c r="M21" i="34"/>
  <c r="L21" i="34"/>
  <c r="M20" i="34"/>
  <c r="L20" i="34"/>
  <c r="M19" i="34"/>
  <c r="L19" i="34"/>
  <c r="M18" i="34"/>
  <c r="L18" i="34"/>
  <c r="M17" i="34"/>
  <c r="L17" i="34"/>
  <c r="M16" i="34"/>
  <c r="L16" i="34"/>
  <c r="M15" i="34"/>
  <c r="L15" i="34"/>
  <c r="M14" i="34"/>
  <c r="L14" i="34"/>
  <c r="M13" i="34"/>
  <c r="L13" i="34"/>
  <c r="M12" i="34"/>
  <c r="L12" i="34"/>
  <c r="M11" i="34"/>
  <c r="L11" i="34"/>
  <c r="M10" i="34"/>
  <c r="L10" i="34"/>
  <c r="M9" i="34"/>
  <c r="L9" i="34"/>
  <c r="M8" i="34"/>
  <c r="L8" i="34"/>
  <c r="M7" i="34"/>
  <c r="L7" i="34"/>
  <c r="M6" i="34"/>
  <c r="L6" i="34"/>
  <c r="M5" i="34"/>
  <c r="L5" i="34"/>
  <c r="M4" i="34"/>
  <c r="L4" i="34"/>
  <c r="M36" i="32"/>
  <c r="L36" i="32"/>
  <c r="M35" i="32"/>
  <c r="L35" i="32"/>
  <c r="M34" i="32"/>
  <c r="L34" i="32"/>
  <c r="M33" i="32"/>
  <c r="L33" i="32"/>
  <c r="M32" i="32"/>
  <c r="L32" i="32"/>
  <c r="M31" i="32"/>
  <c r="L31" i="32"/>
  <c r="M30" i="32"/>
  <c r="L30" i="32"/>
  <c r="M29" i="32"/>
  <c r="L29" i="32"/>
  <c r="M28" i="32"/>
  <c r="L28" i="32"/>
  <c r="M27" i="32"/>
  <c r="L27" i="32"/>
  <c r="M26" i="32"/>
  <c r="L26" i="32"/>
  <c r="M25" i="32"/>
  <c r="L25" i="32"/>
  <c r="M24" i="32"/>
  <c r="L24" i="32"/>
  <c r="M23" i="32"/>
  <c r="L23" i="32"/>
  <c r="M22" i="32"/>
  <c r="L22" i="32"/>
  <c r="M21" i="32"/>
  <c r="L21" i="32"/>
  <c r="M20" i="32"/>
  <c r="L20" i="32"/>
  <c r="M19" i="32"/>
  <c r="L19" i="32"/>
  <c r="M18" i="32"/>
  <c r="L18" i="32"/>
  <c r="M17" i="32"/>
  <c r="L17" i="32"/>
  <c r="M16" i="32"/>
  <c r="L16" i="32"/>
  <c r="M15" i="32"/>
  <c r="L15" i="32"/>
  <c r="M14" i="32"/>
  <c r="L14" i="32"/>
  <c r="M13" i="32"/>
  <c r="L13" i="32"/>
  <c r="M12" i="32"/>
  <c r="L12" i="32"/>
  <c r="M11" i="32"/>
  <c r="L11" i="32"/>
  <c r="M10" i="32"/>
  <c r="L10" i="32"/>
  <c r="M9" i="32"/>
  <c r="L9" i="32"/>
  <c r="M8" i="32"/>
  <c r="L8" i="32"/>
  <c r="M7" i="32"/>
  <c r="L7" i="32"/>
  <c r="M6" i="32"/>
  <c r="L6" i="32"/>
  <c r="M5" i="32"/>
  <c r="L5" i="32"/>
  <c r="M4" i="32"/>
  <c r="L4" i="32"/>
  <c r="M32" i="30"/>
  <c r="L32" i="30"/>
  <c r="M31" i="30"/>
  <c r="L31" i="30"/>
  <c r="M30" i="30"/>
  <c r="L30" i="30"/>
  <c r="M29" i="30"/>
  <c r="L29" i="30"/>
  <c r="M28" i="30"/>
  <c r="L28" i="30"/>
  <c r="M27" i="30"/>
  <c r="L27" i="30"/>
  <c r="M26" i="30"/>
  <c r="L26" i="30"/>
  <c r="M25" i="30"/>
  <c r="L25" i="30"/>
  <c r="M24" i="30"/>
  <c r="L24" i="30"/>
  <c r="M23" i="30"/>
  <c r="L23" i="30"/>
  <c r="M22" i="30"/>
  <c r="L22" i="30"/>
  <c r="M21" i="30"/>
  <c r="L21" i="30"/>
  <c r="M20" i="30"/>
  <c r="L20" i="30"/>
  <c r="M19" i="30"/>
  <c r="L19" i="30"/>
  <c r="M18" i="30"/>
  <c r="L18" i="30"/>
  <c r="M17" i="30"/>
  <c r="L17" i="30"/>
  <c r="M16" i="30"/>
  <c r="L16" i="30"/>
  <c r="M15" i="30"/>
  <c r="L15" i="30"/>
  <c r="M14" i="30"/>
  <c r="L14" i="30"/>
  <c r="M13" i="30"/>
  <c r="L13" i="30"/>
  <c r="M12" i="30"/>
  <c r="L12" i="30"/>
  <c r="M11" i="30"/>
  <c r="L11" i="30"/>
  <c r="M10" i="30"/>
  <c r="L10" i="30"/>
  <c r="M9" i="30"/>
  <c r="L9" i="30"/>
  <c r="M8" i="30"/>
  <c r="L8" i="30"/>
  <c r="M7" i="30"/>
  <c r="L7" i="30"/>
  <c r="M6" i="30"/>
  <c r="L6" i="30"/>
  <c r="M5" i="30"/>
  <c r="L5" i="30"/>
  <c r="M4" i="30"/>
  <c r="L4" i="30"/>
  <c r="M64" i="28"/>
  <c r="L64" i="28"/>
  <c r="M63" i="28"/>
  <c r="L63" i="28"/>
  <c r="M62" i="28"/>
  <c r="L62" i="28"/>
  <c r="M61" i="28"/>
  <c r="L61" i="28"/>
  <c r="M60" i="28"/>
  <c r="L60" i="28"/>
  <c r="M59" i="28"/>
  <c r="L59" i="28"/>
  <c r="M58" i="28"/>
  <c r="L58" i="28"/>
  <c r="M57" i="28"/>
  <c r="L57" i="28"/>
  <c r="M56" i="28"/>
  <c r="L56" i="28"/>
  <c r="M55" i="28"/>
  <c r="L55" i="28"/>
  <c r="M54" i="28"/>
  <c r="L54" i="28"/>
  <c r="M53" i="28"/>
  <c r="L53" i="28"/>
  <c r="M52" i="28"/>
  <c r="L52" i="28"/>
  <c r="M51" i="28"/>
  <c r="L51" i="28"/>
  <c r="M50" i="28"/>
  <c r="L50" i="28"/>
  <c r="M49" i="28"/>
  <c r="L49" i="28"/>
  <c r="M48" i="28"/>
  <c r="L48" i="28"/>
  <c r="M47" i="28"/>
  <c r="L47" i="28"/>
  <c r="M46" i="28"/>
  <c r="L46" i="28"/>
  <c r="M45" i="28"/>
  <c r="L45" i="28"/>
  <c r="M44" i="28"/>
  <c r="L44" i="28"/>
  <c r="M43" i="28"/>
  <c r="L43" i="28"/>
  <c r="M42" i="28"/>
  <c r="L42" i="28"/>
  <c r="M41" i="28"/>
  <c r="L41" i="28"/>
  <c r="M40" i="28"/>
  <c r="L40" i="28"/>
  <c r="M39" i="28"/>
  <c r="L39" i="28"/>
  <c r="M38" i="28"/>
  <c r="L38" i="28"/>
  <c r="M37" i="28"/>
  <c r="L37" i="28"/>
  <c r="M36" i="28"/>
  <c r="L36" i="28"/>
  <c r="M35" i="28"/>
  <c r="L35" i="28"/>
  <c r="M34" i="28"/>
  <c r="L34" i="28"/>
  <c r="M33" i="28"/>
  <c r="L33" i="28"/>
  <c r="M32" i="28"/>
  <c r="L32" i="28"/>
  <c r="M31" i="28"/>
  <c r="L31" i="28"/>
  <c r="M30" i="28"/>
  <c r="L30" i="28"/>
  <c r="M29" i="28"/>
  <c r="L29" i="28"/>
  <c r="M28" i="28"/>
  <c r="L28" i="28"/>
  <c r="M27" i="28"/>
  <c r="L27" i="28"/>
  <c r="M26" i="28"/>
  <c r="L26" i="28"/>
  <c r="M25" i="28"/>
  <c r="L25" i="28"/>
  <c r="M24" i="28"/>
  <c r="L24" i="28"/>
  <c r="M23" i="28"/>
  <c r="L23" i="28"/>
  <c r="M22" i="28"/>
  <c r="L22" i="28"/>
  <c r="M21" i="28"/>
  <c r="L21" i="28"/>
  <c r="M20" i="28"/>
  <c r="L20" i="28"/>
  <c r="M19" i="28"/>
  <c r="L19" i="28"/>
  <c r="M18" i="28"/>
  <c r="L18" i="28"/>
  <c r="M17" i="28"/>
  <c r="L17" i="28"/>
  <c r="M16" i="28"/>
  <c r="L16" i="28"/>
  <c r="M15" i="28"/>
  <c r="L15" i="28"/>
  <c r="M14" i="28"/>
  <c r="L14" i="28"/>
  <c r="M13" i="28"/>
  <c r="L13" i="28"/>
  <c r="M12" i="28"/>
  <c r="L12" i="28"/>
  <c r="M11" i="28"/>
  <c r="L11" i="28"/>
  <c r="M10" i="28"/>
  <c r="L10" i="28"/>
  <c r="M9" i="28"/>
  <c r="L9" i="28"/>
  <c r="M8" i="28"/>
  <c r="L8" i="28"/>
  <c r="M7" i="28"/>
  <c r="L7" i="28"/>
  <c r="M6" i="28"/>
  <c r="L6" i="28"/>
  <c r="M5" i="28"/>
  <c r="L5" i="28"/>
  <c r="M4" i="28"/>
  <c r="L4" i="28"/>
  <c r="M117" i="26"/>
  <c r="L117" i="26"/>
  <c r="M116" i="26"/>
  <c r="L116" i="26"/>
  <c r="M115" i="26"/>
  <c r="L115" i="26"/>
  <c r="M114" i="26"/>
  <c r="L114" i="26"/>
  <c r="M113" i="26"/>
  <c r="L113" i="26"/>
  <c r="M112" i="26"/>
  <c r="L112" i="26"/>
  <c r="M111" i="26"/>
  <c r="L111" i="26"/>
  <c r="M110" i="26"/>
  <c r="L110" i="26"/>
  <c r="M109" i="26"/>
  <c r="L109" i="26"/>
  <c r="M108" i="26"/>
  <c r="L108" i="26"/>
  <c r="M107" i="26"/>
  <c r="L107" i="26"/>
  <c r="M106" i="26"/>
  <c r="L106" i="26"/>
  <c r="M105" i="26"/>
  <c r="L105" i="26"/>
  <c r="M104" i="26"/>
  <c r="L104" i="26"/>
  <c r="M103" i="26"/>
  <c r="L103" i="26"/>
  <c r="M102" i="26"/>
  <c r="L102" i="26"/>
  <c r="M101" i="26"/>
  <c r="L101" i="26"/>
  <c r="M100" i="26"/>
  <c r="L100" i="26"/>
  <c r="M99" i="26"/>
  <c r="L99" i="26"/>
  <c r="M98" i="26"/>
  <c r="L98" i="26"/>
  <c r="M97" i="26"/>
  <c r="L97" i="26"/>
  <c r="M96" i="26"/>
  <c r="L96" i="26"/>
  <c r="M95" i="26"/>
  <c r="L95" i="26"/>
  <c r="M94" i="26"/>
  <c r="L94" i="26"/>
  <c r="M93" i="26"/>
  <c r="L93" i="26"/>
  <c r="M92" i="26"/>
  <c r="L92" i="26"/>
  <c r="M91" i="26"/>
  <c r="L91" i="26"/>
  <c r="M90" i="26"/>
  <c r="L90" i="26"/>
  <c r="M89" i="26"/>
  <c r="L89" i="26"/>
  <c r="M88" i="26"/>
  <c r="L88" i="26"/>
  <c r="M87" i="26"/>
  <c r="L87" i="26"/>
  <c r="M86" i="26"/>
  <c r="L86" i="26"/>
  <c r="M85" i="26"/>
  <c r="L85" i="26"/>
  <c r="M84" i="26"/>
  <c r="L84" i="26"/>
  <c r="M83" i="26"/>
  <c r="L83" i="26"/>
  <c r="M82" i="26"/>
  <c r="L82" i="26"/>
  <c r="M81" i="26"/>
  <c r="L81" i="26"/>
  <c r="M80" i="26"/>
  <c r="L80" i="26"/>
  <c r="M79" i="26"/>
  <c r="L79" i="26"/>
  <c r="M78" i="26"/>
  <c r="L78" i="26"/>
  <c r="M77" i="26"/>
  <c r="L77" i="26"/>
  <c r="M76" i="26"/>
  <c r="L76" i="26"/>
  <c r="M75" i="26"/>
  <c r="L75" i="26"/>
  <c r="M74" i="26"/>
  <c r="L74" i="26"/>
  <c r="M73" i="26"/>
  <c r="L73" i="26"/>
  <c r="M72" i="26"/>
  <c r="L72" i="26"/>
  <c r="M71" i="26"/>
  <c r="L71" i="26"/>
  <c r="M70" i="26"/>
  <c r="L70" i="26"/>
  <c r="M69" i="26"/>
  <c r="L69" i="26"/>
  <c r="M68" i="26"/>
  <c r="L68" i="26"/>
  <c r="M67" i="26"/>
  <c r="L67" i="26"/>
  <c r="M66" i="26"/>
  <c r="L66" i="26"/>
  <c r="M65" i="26"/>
  <c r="L65" i="26"/>
  <c r="M64" i="26"/>
  <c r="L64" i="26"/>
  <c r="M63" i="26"/>
  <c r="L63" i="26"/>
  <c r="M62" i="26"/>
  <c r="L62" i="26"/>
  <c r="M61" i="26"/>
  <c r="L61" i="26"/>
  <c r="M60" i="26"/>
  <c r="L60" i="26"/>
  <c r="M59" i="26"/>
  <c r="L59" i="26"/>
  <c r="M58" i="26"/>
  <c r="L58" i="26"/>
  <c r="M57" i="26"/>
  <c r="L57" i="26"/>
  <c r="M56" i="26"/>
  <c r="L56" i="26"/>
  <c r="M55" i="26"/>
  <c r="L55" i="26"/>
  <c r="M54" i="26"/>
  <c r="L54" i="26"/>
  <c r="M53" i="26"/>
  <c r="L53" i="26"/>
  <c r="M52" i="26"/>
  <c r="L52" i="26"/>
  <c r="M51" i="26"/>
  <c r="L51" i="26"/>
  <c r="M50" i="26"/>
  <c r="L50" i="26"/>
  <c r="M49" i="26"/>
  <c r="L49" i="26"/>
  <c r="M48" i="26"/>
  <c r="L48" i="26"/>
  <c r="M47" i="26"/>
  <c r="L47" i="26"/>
  <c r="M46" i="26"/>
  <c r="L46" i="26"/>
  <c r="M45" i="26"/>
  <c r="L45" i="26"/>
  <c r="M44" i="26"/>
  <c r="L44" i="26"/>
  <c r="M43" i="26"/>
  <c r="L43" i="26"/>
  <c r="M42" i="26"/>
  <c r="L42" i="26"/>
  <c r="M41" i="26"/>
  <c r="L41" i="26"/>
  <c r="M40" i="26"/>
  <c r="L40" i="26"/>
  <c r="M39" i="26"/>
  <c r="L39" i="26"/>
  <c r="M38" i="26"/>
  <c r="L38" i="26"/>
  <c r="M37" i="26"/>
  <c r="L37" i="26"/>
  <c r="M36" i="26"/>
  <c r="L36" i="26"/>
  <c r="M35" i="26"/>
  <c r="L35" i="26"/>
  <c r="M34" i="26"/>
  <c r="L34" i="26"/>
  <c r="M33" i="26"/>
  <c r="L33" i="26"/>
  <c r="M32" i="26"/>
  <c r="L32" i="26"/>
  <c r="M31" i="26"/>
  <c r="L31" i="26"/>
  <c r="M30" i="26"/>
  <c r="L30" i="26"/>
  <c r="M29" i="26"/>
  <c r="L29" i="26"/>
  <c r="M28" i="26"/>
  <c r="L28" i="26"/>
  <c r="M27" i="26"/>
  <c r="L27" i="26"/>
  <c r="M26" i="26"/>
  <c r="L26" i="26"/>
  <c r="M25" i="26"/>
  <c r="L25" i="26"/>
  <c r="M24" i="26"/>
  <c r="L24" i="26"/>
  <c r="M23" i="26"/>
  <c r="L23" i="26"/>
  <c r="M22" i="26"/>
  <c r="L22" i="26"/>
  <c r="M21" i="26"/>
  <c r="L21" i="26"/>
  <c r="M20" i="26"/>
  <c r="L20" i="26"/>
  <c r="M19" i="26"/>
  <c r="L19" i="26"/>
  <c r="M18" i="26"/>
  <c r="L18" i="26"/>
  <c r="M17" i="26"/>
  <c r="L17" i="26"/>
  <c r="M16" i="26"/>
  <c r="L16" i="26"/>
  <c r="M15" i="26"/>
  <c r="L15" i="26"/>
  <c r="M14" i="26"/>
  <c r="L14" i="26"/>
  <c r="M13" i="26"/>
  <c r="L13" i="26"/>
  <c r="M12" i="26"/>
  <c r="L12" i="26"/>
  <c r="M11" i="26"/>
  <c r="L11" i="26"/>
  <c r="M10" i="26"/>
  <c r="L10" i="26"/>
  <c r="M9" i="26"/>
  <c r="L9" i="26"/>
  <c r="M8" i="26"/>
  <c r="L8" i="26"/>
  <c r="M7" i="26"/>
  <c r="L7" i="26"/>
  <c r="M6" i="26"/>
  <c r="L6" i="26"/>
  <c r="M5" i="26"/>
  <c r="L5" i="26"/>
  <c r="M4" i="26"/>
  <c r="L4" i="26"/>
  <c r="M117" i="24"/>
  <c r="L117" i="24"/>
  <c r="M116" i="24"/>
  <c r="L116" i="24"/>
  <c r="M115" i="24"/>
  <c r="L115" i="24"/>
  <c r="M114" i="24"/>
  <c r="L114" i="24"/>
  <c r="M113" i="24"/>
  <c r="L113" i="24"/>
  <c r="M112" i="24"/>
  <c r="L112" i="24"/>
  <c r="M111" i="24"/>
  <c r="L111" i="24"/>
  <c r="M110" i="24"/>
  <c r="L110" i="24"/>
  <c r="M109" i="24"/>
  <c r="L109" i="24"/>
  <c r="M108" i="24"/>
  <c r="L108" i="24"/>
  <c r="M107" i="24"/>
  <c r="L107" i="24"/>
  <c r="M106" i="24"/>
  <c r="L106" i="24"/>
  <c r="M105" i="24"/>
  <c r="L105" i="24"/>
  <c r="M104" i="24"/>
  <c r="L104" i="24"/>
  <c r="M103" i="24"/>
  <c r="L103" i="24"/>
  <c r="M102" i="24"/>
  <c r="L102" i="24"/>
  <c r="M101" i="24"/>
  <c r="L101" i="24"/>
  <c r="M100" i="24"/>
  <c r="L100" i="24"/>
  <c r="M99" i="24"/>
  <c r="L99" i="24"/>
  <c r="M98" i="24"/>
  <c r="L98" i="24"/>
  <c r="M97" i="24"/>
  <c r="L97" i="24"/>
  <c r="M96" i="24"/>
  <c r="L96" i="24"/>
  <c r="M95" i="24"/>
  <c r="L95" i="24"/>
  <c r="M94" i="24"/>
  <c r="L94" i="24"/>
  <c r="M93" i="24"/>
  <c r="L93" i="24"/>
  <c r="M92" i="24"/>
  <c r="L92" i="24"/>
  <c r="M91" i="24"/>
  <c r="L91" i="24"/>
  <c r="M90" i="24"/>
  <c r="L90" i="24"/>
  <c r="M89" i="24"/>
  <c r="L89" i="24"/>
  <c r="M88" i="24"/>
  <c r="L88" i="24"/>
  <c r="M87" i="24"/>
  <c r="L87" i="24"/>
  <c r="M86" i="24"/>
  <c r="L86" i="24"/>
  <c r="M85" i="24"/>
  <c r="L85" i="24"/>
  <c r="M84" i="24"/>
  <c r="L84" i="24"/>
  <c r="M83" i="24"/>
  <c r="L83" i="24"/>
  <c r="M82" i="24"/>
  <c r="L82" i="24"/>
  <c r="M81" i="24"/>
  <c r="L81" i="24"/>
  <c r="M80" i="24"/>
  <c r="L80" i="24"/>
  <c r="M79" i="24"/>
  <c r="L79" i="24"/>
  <c r="M78" i="24"/>
  <c r="L78" i="24"/>
  <c r="M77" i="24"/>
  <c r="L77" i="24"/>
  <c r="M76" i="24"/>
  <c r="L76" i="24"/>
  <c r="M75" i="24"/>
  <c r="L75" i="24"/>
  <c r="M74" i="24"/>
  <c r="L74" i="24"/>
  <c r="M73" i="24"/>
  <c r="L73" i="24"/>
  <c r="M72" i="24"/>
  <c r="L72" i="24"/>
  <c r="M71" i="24"/>
  <c r="L71" i="24"/>
  <c r="M70" i="24"/>
  <c r="L70" i="24"/>
  <c r="M69" i="24"/>
  <c r="L69" i="24"/>
  <c r="M68" i="24"/>
  <c r="L68" i="24"/>
  <c r="M67" i="24"/>
  <c r="L67" i="24"/>
  <c r="M66" i="24"/>
  <c r="L66" i="24"/>
  <c r="M65" i="24"/>
  <c r="L65" i="24"/>
  <c r="M64" i="24"/>
  <c r="L64" i="24"/>
  <c r="M63" i="24"/>
  <c r="L63" i="24"/>
  <c r="M62" i="24"/>
  <c r="L62" i="24"/>
  <c r="M61" i="24"/>
  <c r="L61" i="24"/>
  <c r="M60" i="24"/>
  <c r="L60" i="24"/>
  <c r="M59" i="24"/>
  <c r="L59" i="24"/>
  <c r="M58" i="24"/>
  <c r="L58" i="24"/>
  <c r="M57" i="24"/>
  <c r="L57" i="24"/>
  <c r="M56" i="24"/>
  <c r="L56" i="24"/>
  <c r="M55" i="24"/>
  <c r="L55" i="24"/>
  <c r="M54" i="24"/>
  <c r="L54" i="24"/>
  <c r="M53" i="24"/>
  <c r="L53" i="24"/>
  <c r="M52" i="24"/>
  <c r="L52" i="24"/>
  <c r="M51" i="24"/>
  <c r="L51" i="24"/>
  <c r="M50" i="24"/>
  <c r="L50" i="24"/>
  <c r="M49" i="24"/>
  <c r="L49" i="24"/>
  <c r="M48" i="24"/>
  <c r="L48" i="24"/>
  <c r="M47" i="24"/>
  <c r="L47" i="24"/>
  <c r="M46" i="24"/>
  <c r="L46" i="24"/>
  <c r="M45" i="24"/>
  <c r="L45" i="24"/>
  <c r="M44" i="24"/>
  <c r="L44" i="24"/>
  <c r="M43" i="24"/>
  <c r="L43" i="24"/>
  <c r="M42" i="24"/>
  <c r="L42" i="24"/>
  <c r="M41" i="24"/>
  <c r="L41" i="24"/>
  <c r="M40" i="24"/>
  <c r="L40" i="24"/>
  <c r="M39" i="24"/>
  <c r="L39" i="24"/>
  <c r="M38" i="24"/>
  <c r="L38" i="24"/>
  <c r="M37" i="24"/>
  <c r="L37" i="24"/>
  <c r="M36" i="24"/>
  <c r="L36" i="24"/>
  <c r="M35" i="24"/>
  <c r="L35" i="24"/>
  <c r="M34" i="24"/>
  <c r="L34" i="24"/>
  <c r="M33" i="24"/>
  <c r="L33" i="24"/>
  <c r="M32" i="24"/>
  <c r="L32" i="24"/>
  <c r="M31" i="24"/>
  <c r="L31" i="24"/>
  <c r="M30" i="24"/>
  <c r="L30" i="24"/>
  <c r="M29" i="24"/>
  <c r="L29" i="24"/>
  <c r="M28" i="24"/>
  <c r="L28" i="24"/>
  <c r="M27" i="24"/>
  <c r="L27" i="24"/>
  <c r="M26" i="24"/>
  <c r="L26" i="24"/>
  <c r="M25" i="24"/>
  <c r="L25" i="24"/>
  <c r="M24" i="24"/>
  <c r="L24" i="24"/>
  <c r="M23" i="24"/>
  <c r="L23" i="24"/>
  <c r="M22" i="24"/>
  <c r="L22" i="24"/>
  <c r="M21" i="24"/>
  <c r="L21" i="24"/>
  <c r="M20" i="24"/>
  <c r="L20" i="24"/>
  <c r="M19" i="24"/>
  <c r="L19" i="24"/>
  <c r="M18" i="24"/>
  <c r="L18" i="24"/>
  <c r="M17" i="24"/>
  <c r="L17" i="24"/>
  <c r="M16" i="24"/>
  <c r="L16" i="24"/>
  <c r="M15" i="24"/>
  <c r="L15" i="24"/>
  <c r="M14" i="24"/>
  <c r="L14" i="24"/>
  <c r="M13" i="24"/>
  <c r="L13" i="24"/>
  <c r="M12" i="24"/>
  <c r="L12" i="24"/>
  <c r="M11" i="24"/>
  <c r="L11" i="24"/>
  <c r="M10" i="24"/>
  <c r="L10" i="24"/>
  <c r="M9" i="24"/>
  <c r="L9" i="24"/>
  <c r="M8" i="24"/>
  <c r="L8" i="24"/>
  <c r="M7" i="24"/>
  <c r="L7" i="24"/>
  <c r="M6" i="24"/>
  <c r="L6" i="24"/>
  <c r="M5" i="24"/>
  <c r="L5" i="24"/>
  <c r="M4" i="24"/>
  <c r="L4" i="24"/>
  <c r="M56" i="22"/>
  <c r="L56" i="22"/>
  <c r="M55" i="22"/>
  <c r="L55" i="22"/>
  <c r="M54" i="22"/>
  <c r="L54" i="22"/>
  <c r="M53" i="22"/>
  <c r="L53" i="22"/>
  <c r="M52" i="22"/>
  <c r="L52" i="22"/>
  <c r="M51" i="22"/>
  <c r="L51" i="22"/>
  <c r="M50" i="22"/>
  <c r="L50" i="22"/>
  <c r="M49" i="22"/>
  <c r="L49" i="22"/>
  <c r="M48" i="22"/>
  <c r="L48" i="22"/>
  <c r="M47" i="22"/>
  <c r="L47" i="22"/>
  <c r="M46" i="22"/>
  <c r="L46" i="22"/>
  <c r="M45" i="22"/>
  <c r="L45" i="22"/>
  <c r="M44" i="22"/>
  <c r="L44" i="22"/>
  <c r="M43" i="22"/>
  <c r="L43" i="22"/>
  <c r="M42" i="22"/>
  <c r="L42" i="22"/>
  <c r="M41" i="22"/>
  <c r="L41" i="22"/>
  <c r="M40" i="22"/>
  <c r="L40" i="22"/>
  <c r="M39" i="22"/>
  <c r="L39" i="22"/>
  <c r="M38" i="22"/>
  <c r="L38" i="22"/>
  <c r="M37" i="22"/>
  <c r="L37" i="22"/>
  <c r="M36" i="22"/>
  <c r="L36" i="22"/>
  <c r="M35" i="22"/>
  <c r="L35" i="22"/>
  <c r="M34" i="22"/>
  <c r="L34" i="22"/>
  <c r="M33" i="22"/>
  <c r="L33" i="22"/>
  <c r="M32" i="22"/>
  <c r="L32" i="22"/>
  <c r="M31" i="22"/>
  <c r="L31" i="22"/>
  <c r="M30" i="22"/>
  <c r="L30" i="22"/>
  <c r="M29" i="22"/>
  <c r="L29" i="22"/>
  <c r="M28" i="22"/>
  <c r="L28" i="22"/>
  <c r="M27" i="22"/>
  <c r="L27" i="22"/>
  <c r="M26" i="22"/>
  <c r="L26" i="22"/>
  <c r="M25" i="22"/>
  <c r="L25" i="22"/>
  <c r="M24" i="22"/>
  <c r="L24" i="22"/>
  <c r="M23" i="22"/>
  <c r="L23" i="22"/>
  <c r="M22" i="22"/>
  <c r="L22" i="22"/>
  <c r="M21" i="22"/>
  <c r="L21" i="22"/>
  <c r="M20" i="22"/>
  <c r="L20" i="22"/>
  <c r="M19" i="22"/>
  <c r="L19" i="22"/>
  <c r="M18" i="22"/>
  <c r="L18" i="22"/>
  <c r="M17" i="22"/>
  <c r="L17" i="22"/>
  <c r="M16" i="22"/>
  <c r="L16" i="22"/>
  <c r="M15" i="22"/>
  <c r="L15" i="22"/>
  <c r="M14" i="22"/>
  <c r="L14" i="22"/>
  <c r="M13" i="22"/>
  <c r="L13" i="22"/>
  <c r="M12" i="22"/>
  <c r="L12" i="22"/>
  <c r="M11" i="22"/>
  <c r="L11" i="22"/>
  <c r="M10" i="22"/>
  <c r="L10" i="22"/>
  <c r="M9" i="22"/>
  <c r="L9" i="22"/>
  <c r="M8" i="22"/>
  <c r="L8" i="22"/>
  <c r="M7" i="22"/>
  <c r="L7" i="22"/>
  <c r="M6" i="22"/>
  <c r="L6" i="22"/>
  <c r="M5" i="22"/>
  <c r="L5" i="22"/>
  <c r="M4" i="22"/>
  <c r="L4" i="22"/>
  <c r="M50" i="20"/>
  <c r="L50" i="20"/>
  <c r="M49" i="20"/>
  <c r="L49" i="20"/>
  <c r="M48" i="20"/>
  <c r="L48" i="20"/>
  <c r="M47" i="20"/>
  <c r="L47" i="20"/>
  <c r="M46" i="20"/>
  <c r="L46" i="20"/>
  <c r="M45" i="20"/>
  <c r="L45" i="20"/>
  <c r="M44" i="20"/>
  <c r="L44" i="20"/>
  <c r="M43" i="20"/>
  <c r="L43" i="20"/>
  <c r="M42" i="20"/>
  <c r="L42" i="20"/>
  <c r="M41" i="20"/>
  <c r="L41" i="20"/>
  <c r="M40" i="20"/>
  <c r="L40" i="20"/>
  <c r="M39" i="20"/>
  <c r="L39" i="20"/>
  <c r="M38" i="20"/>
  <c r="L38" i="20"/>
  <c r="M37" i="20"/>
  <c r="L37" i="20"/>
  <c r="M36" i="20"/>
  <c r="L36" i="20"/>
  <c r="M35" i="20"/>
  <c r="L35" i="20"/>
  <c r="M34" i="20"/>
  <c r="L34" i="20"/>
  <c r="M33" i="20"/>
  <c r="L33" i="20"/>
  <c r="M32" i="20"/>
  <c r="L32" i="20"/>
  <c r="M31" i="20"/>
  <c r="L31" i="20"/>
  <c r="M30" i="20"/>
  <c r="L30" i="20"/>
  <c r="M29" i="20"/>
  <c r="L29" i="20"/>
  <c r="M28" i="20"/>
  <c r="L28" i="20"/>
  <c r="M27" i="20"/>
  <c r="L27" i="20"/>
  <c r="M26" i="20"/>
  <c r="L26" i="20"/>
  <c r="M25" i="20"/>
  <c r="L25" i="20"/>
  <c r="M24" i="20"/>
  <c r="L24" i="20"/>
  <c r="M23" i="20"/>
  <c r="L23" i="20"/>
  <c r="M22" i="20"/>
  <c r="L22" i="20"/>
  <c r="M21" i="20"/>
  <c r="L21" i="20"/>
  <c r="M20" i="20"/>
  <c r="L20" i="20"/>
  <c r="M19" i="20"/>
  <c r="L19" i="20"/>
  <c r="M18" i="20"/>
  <c r="L18" i="20"/>
  <c r="M17" i="20"/>
  <c r="L17" i="20"/>
  <c r="M16" i="20"/>
  <c r="L16" i="20"/>
  <c r="M15" i="20"/>
  <c r="L15" i="20"/>
  <c r="M14" i="20"/>
  <c r="L14" i="20"/>
  <c r="M13" i="20"/>
  <c r="L13" i="20"/>
  <c r="M12" i="20"/>
  <c r="L12" i="20"/>
  <c r="M11" i="20"/>
  <c r="L11" i="20"/>
  <c r="M10" i="20"/>
  <c r="L10" i="20"/>
  <c r="M9" i="20"/>
  <c r="L9" i="20"/>
  <c r="M8" i="20"/>
  <c r="L8" i="20"/>
  <c r="M7" i="20"/>
  <c r="L7" i="20"/>
  <c r="M6" i="20"/>
  <c r="L6" i="20"/>
  <c r="M5" i="20"/>
  <c r="L5" i="20"/>
  <c r="M4" i="20"/>
  <c r="L4" i="20"/>
  <c r="M167" i="18"/>
  <c r="L167" i="18"/>
  <c r="M166" i="18"/>
  <c r="L166" i="18"/>
  <c r="M165" i="18"/>
  <c r="L165" i="18"/>
  <c r="M164" i="18"/>
  <c r="L164" i="18"/>
  <c r="M163" i="18"/>
  <c r="L163" i="18"/>
  <c r="M162" i="18"/>
  <c r="L162" i="18"/>
  <c r="M161" i="18"/>
  <c r="L161" i="18"/>
  <c r="M160" i="18"/>
  <c r="L160" i="18"/>
  <c r="M159" i="18"/>
  <c r="L159" i="18"/>
  <c r="M158" i="18"/>
  <c r="L158" i="18"/>
  <c r="M157" i="18"/>
  <c r="L157" i="18"/>
  <c r="M156" i="18"/>
  <c r="L156" i="18"/>
  <c r="M155" i="18"/>
  <c r="L155" i="18"/>
  <c r="M154" i="18"/>
  <c r="L154" i="18"/>
  <c r="M153" i="18"/>
  <c r="L153" i="18"/>
  <c r="M152" i="18"/>
  <c r="L152" i="18"/>
  <c r="M151" i="18"/>
  <c r="L151" i="18"/>
  <c r="M150" i="18"/>
  <c r="L150" i="18"/>
  <c r="M149" i="18"/>
  <c r="L149" i="18"/>
  <c r="M148" i="18"/>
  <c r="L148" i="18"/>
  <c r="M147" i="18"/>
  <c r="L147" i="18"/>
  <c r="M146" i="18"/>
  <c r="L146" i="18"/>
  <c r="M145" i="18"/>
  <c r="L145" i="18"/>
  <c r="M144" i="18"/>
  <c r="L144" i="18"/>
  <c r="M143" i="18"/>
  <c r="L143" i="18"/>
  <c r="M142" i="18"/>
  <c r="L142" i="18"/>
  <c r="M141" i="18"/>
  <c r="L141" i="18"/>
  <c r="M140" i="18"/>
  <c r="L140" i="18"/>
  <c r="M139" i="18"/>
  <c r="L139" i="18"/>
  <c r="M138" i="18"/>
  <c r="L138" i="18"/>
  <c r="M137" i="18"/>
  <c r="L137" i="18"/>
  <c r="M136" i="18"/>
  <c r="L136" i="18"/>
  <c r="M135" i="18"/>
  <c r="L135" i="18"/>
  <c r="M134" i="18"/>
  <c r="L134" i="18"/>
  <c r="M133" i="18"/>
  <c r="L133" i="18"/>
  <c r="M132" i="18"/>
  <c r="L132" i="18"/>
  <c r="M131" i="18"/>
  <c r="L131" i="18"/>
  <c r="M130" i="18"/>
  <c r="L130" i="18"/>
  <c r="M129" i="18"/>
  <c r="L129" i="18"/>
  <c r="M128" i="18"/>
  <c r="L128" i="18"/>
  <c r="M127" i="18"/>
  <c r="L127" i="18"/>
  <c r="M126" i="18"/>
  <c r="L126" i="18"/>
  <c r="M125" i="18"/>
  <c r="L125" i="18"/>
  <c r="M124" i="18"/>
  <c r="L124" i="18"/>
  <c r="M123" i="18"/>
  <c r="L123" i="18"/>
  <c r="M122" i="18"/>
  <c r="L122" i="18"/>
  <c r="M121" i="18"/>
  <c r="L121" i="18"/>
  <c r="M120" i="18"/>
  <c r="L120" i="18"/>
  <c r="M119" i="18"/>
  <c r="L119" i="18"/>
  <c r="M118" i="18"/>
  <c r="L118" i="18"/>
  <c r="M117" i="18"/>
  <c r="L117" i="18"/>
  <c r="M116" i="18"/>
  <c r="L116" i="18"/>
  <c r="M115" i="18"/>
  <c r="L115" i="18"/>
  <c r="M114" i="18"/>
  <c r="L114" i="18"/>
  <c r="M113" i="18"/>
  <c r="L113" i="18"/>
  <c r="M112" i="18"/>
  <c r="L112" i="18"/>
  <c r="M111" i="18"/>
  <c r="L111" i="18"/>
  <c r="M110" i="18"/>
  <c r="L110" i="18"/>
  <c r="M109" i="18"/>
  <c r="L109" i="18"/>
  <c r="M108" i="18"/>
  <c r="L108" i="18"/>
  <c r="M107" i="18"/>
  <c r="L107" i="18"/>
  <c r="M106" i="18"/>
  <c r="L106" i="18"/>
  <c r="M105" i="18"/>
  <c r="L105" i="18"/>
  <c r="M104" i="18"/>
  <c r="L104" i="18"/>
  <c r="M103" i="18"/>
  <c r="L103" i="18"/>
  <c r="M102" i="18"/>
  <c r="L102" i="18"/>
  <c r="M101" i="18"/>
  <c r="L101" i="18"/>
  <c r="M100" i="18"/>
  <c r="L100" i="18"/>
  <c r="M99" i="18"/>
  <c r="L99" i="18"/>
  <c r="M98" i="18"/>
  <c r="L98" i="18"/>
  <c r="M97" i="18"/>
  <c r="L97" i="18"/>
  <c r="M96" i="18"/>
  <c r="L96" i="18"/>
  <c r="M95" i="18"/>
  <c r="L95" i="18"/>
  <c r="M94" i="18"/>
  <c r="L94" i="18"/>
  <c r="M93" i="18"/>
  <c r="L93" i="18"/>
  <c r="M92" i="18"/>
  <c r="L92" i="18"/>
  <c r="M91" i="18"/>
  <c r="L91" i="18"/>
  <c r="M90" i="18"/>
  <c r="L90" i="18"/>
  <c r="M89" i="18"/>
  <c r="L89" i="18"/>
  <c r="M88" i="18"/>
  <c r="L88" i="18"/>
  <c r="M87" i="18"/>
  <c r="L87" i="18"/>
  <c r="M86" i="18"/>
  <c r="L86" i="18"/>
  <c r="M85" i="18"/>
  <c r="L85" i="18"/>
  <c r="M84" i="18"/>
  <c r="L84" i="18"/>
  <c r="M83" i="18"/>
  <c r="L83" i="18"/>
  <c r="M82" i="18"/>
  <c r="L82" i="18"/>
  <c r="M81" i="18"/>
  <c r="L81" i="18"/>
  <c r="M80" i="18"/>
  <c r="L80" i="18"/>
  <c r="M79" i="18"/>
  <c r="L79" i="18"/>
  <c r="M78" i="18"/>
  <c r="L78" i="18"/>
  <c r="M77" i="18"/>
  <c r="L77" i="18"/>
  <c r="M76" i="18"/>
  <c r="L76" i="18"/>
  <c r="M75" i="18"/>
  <c r="L75" i="18"/>
  <c r="M74" i="18"/>
  <c r="L74" i="18"/>
  <c r="M73" i="18"/>
  <c r="L73" i="18"/>
  <c r="M72" i="18"/>
  <c r="L72" i="18"/>
  <c r="M71" i="18"/>
  <c r="L71" i="18"/>
  <c r="M70" i="18"/>
  <c r="L70" i="18"/>
  <c r="M69" i="18"/>
  <c r="L69" i="18"/>
  <c r="M68" i="18"/>
  <c r="L68" i="18"/>
  <c r="M67" i="18"/>
  <c r="L67" i="18"/>
  <c r="M66" i="18"/>
  <c r="L66" i="18"/>
  <c r="M65" i="18"/>
  <c r="L65" i="18"/>
  <c r="M64" i="18"/>
  <c r="L64" i="18"/>
  <c r="M63" i="18"/>
  <c r="L63" i="18"/>
  <c r="M62" i="18"/>
  <c r="L62" i="18"/>
  <c r="M61" i="18"/>
  <c r="L61" i="18"/>
  <c r="M60" i="18"/>
  <c r="L60" i="18"/>
  <c r="M59" i="18"/>
  <c r="L59" i="18"/>
  <c r="M58" i="18"/>
  <c r="L58" i="18"/>
  <c r="M57" i="18"/>
  <c r="L57" i="18"/>
  <c r="M56" i="18"/>
  <c r="L56" i="18"/>
  <c r="M55" i="18"/>
  <c r="L55" i="18"/>
  <c r="M54" i="18"/>
  <c r="L54" i="18"/>
  <c r="M53" i="18"/>
  <c r="L53" i="18"/>
  <c r="M52" i="18"/>
  <c r="L52" i="18"/>
  <c r="M51" i="18"/>
  <c r="L51" i="18"/>
  <c r="M50" i="18"/>
  <c r="L50" i="18"/>
  <c r="M49" i="18"/>
  <c r="L49" i="18"/>
  <c r="M48" i="18"/>
  <c r="L48" i="18"/>
  <c r="M47" i="18"/>
  <c r="L47" i="18"/>
  <c r="M46" i="18"/>
  <c r="L46" i="18"/>
  <c r="M45" i="18"/>
  <c r="L45" i="18"/>
  <c r="M44" i="18"/>
  <c r="L44" i="18"/>
  <c r="M43" i="18"/>
  <c r="L43" i="18"/>
  <c r="M42" i="18"/>
  <c r="L42" i="18"/>
  <c r="M41" i="18"/>
  <c r="L41" i="18"/>
  <c r="M40" i="18"/>
  <c r="L40" i="18"/>
  <c r="M39" i="18"/>
  <c r="L39" i="18"/>
  <c r="M38" i="18"/>
  <c r="L38" i="18"/>
  <c r="M37" i="18"/>
  <c r="L37" i="18"/>
  <c r="M36" i="18"/>
  <c r="L36" i="18"/>
  <c r="M35" i="18"/>
  <c r="L35" i="18"/>
  <c r="M34" i="18"/>
  <c r="L34" i="18"/>
  <c r="M33" i="18"/>
  <c r="L33" i="18"/>
  <c r="M32" i="18"/>
  <c r="L32" i="18"/>
  <c r="M31" i="18"/>
  <c r="L31" i="18"/>
  <c r="M30" i="18"/>
  <c r="L30" i="18"/>
  <c r="M29" i="18"/>
  <c r="L29" i="18"/>
  <c r="M28" i="18"/>
  <c r="L28" i="18"/>
  <c r="M27" i="18"/>
  <c r="L27" i="18"/>
  <c r="M26" i="18"/>
  <c r="L26" i="18"/>
  <c r="M25" i="18"/>
  <c r="L25" i="18"/>
  <c r="M24" i="18"/>
  <c r="L24" i="18"/>
  <c r="M23" i="18"/>
  <c r="L23" i="18"/>
  <c r="M22" i="18"/>
  <c r="L22" i="18"/>
  <c r="M21" i="18"/>
  <c r="L21" i="18"/>
  <c r="M20" i="18"/>
  <c r="L20" i="18"/>
  <c r="M19" i="18"/>
  <c r="L19" i="18"/>
  <c r="M18" i="18"/>
  <c r="L18" i="18"/>
  <c r="M17" i="18"/>
  <c r="L17" i="18"/>
  <c r="M16" i="18"/>
  <c r="L16" i="18"/>
  <c r="M15" i="18"/>
  <c r="L15" i="18"/>
  <c r="M14" i="18"/>
  <c r="L14" i="18"/>
  <c r="M13" i="18"/>
  <c r="L13" i="18"/>
  <c r="M12" i="18"/>
  <c r="L12" i="18"/>
  <c r="M11" i="18"/>
  <c r="L11" i="18"/>
  <c r="M10" i="18"/>
  <c r="L10" i="18"/>
  <c r="M9" i="18"/>
  <c r="L9" i="18"/>
  <c r="M8" i="18"/>
  <c r="L8" i="18"/>
  <c r="M7" i="18"/>
  <c r="L7" i="18"/>
  <c r="M6" i="18"/>
  <c r="L6" i="18"/>
  <c r="M5" i="18"/>
  <c r="L5" i="18"/>
  <c r="M4" i="18"/>
  <c r="L4" i="18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4" i="16"/>
  <c r="L4" i="16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4" i="14"/>
  <c r="L4" i="14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4" i="12"/>
  <c r="L4" i="12"/>
  <c r="M80" i="10"/>
  <c r="L80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4" i="10"/>
  <c r="L4" i="10"/>
  <c r="M66" i="8"/>
  <c r="L66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4" i="8"/>
  <c r="L4" i="8"/>
  <c r="M138" i="6"/>
  <c r="L138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191" i="4"/>
  <c r="L191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157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</calcChain>
</file>

<file path=xl/sharedStrings.xml><?xml version="1.0" encoding="utf-8"?>
<sst xmlns="http://schemas.openxmlformats.org/spreadsheetml/2006/main" count="400" uniqueCount="17">
  <si>
    <t>Year</t>
  </si>
  <si>
    <t>Month</t>
  </si>
  <si>
    <t>Day</t>
  </si>
  <si>
    <t>Hour</t>
  </si>
  <si>
    <t>Flow</t>
  </si>
  <si>
    <t>长坪</t>
  </si>
  <si>
    <t>梅坑</t>
  </si>
  <si>
    <t>板岭</t>
  </si>
  <si>
    <t>潭公洞</t>
  </si>
  <si>
    <t>岳城</t>
  </si>
  <si>
    <t>黄磜</t>
  </si>
  <si>
    <t>面积</t>
  </si>
  <si>
    <t>权重泰森</t>
  </si>
  <si>
    <t>黄礤</t>
  </si>
  <si>
    <t>实际径流深r</t>
  </si>
  <si>
    <t>total_rainfall</t>
  </si>
  <si>
    <t>runoff_depth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</si>
</sst>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M157"/>
  <sheetViews>
    <sheetView tabSelected="1" zoomScaleNormal="100" workbookViewId="0">
      <selection activeCell="J17" sqref="J17"/>
    </sheetView>
  </sheetViews>
  <sheetFormatPr defaultColWidth="9" defaultRowHeight="15"/>
  <cols>
    <col min="6" max="12" width="12.5703125" style="1"/>
    <col min="13" max="13" width="18.7109375" customWidth="1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 s="1">
        <v>121.13</v>
      </c>
      <c r="G1" s="1">
        <v>160.006</v>
      </c>
      <c r="H1" s="1">
        <v>82.305000000000007</v>
      </c>
      <c r="I1" s="1">
        <v>69.671999999999997</v>
      </c>
      <c r="J1" s="1">
        <v>25.645</v>
      </c>
      <c r="K1" s="1">
        <v>72.358999999999995</v>
      </c>
      <c r="L1" s="1">
        <v>531.11699999999996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 s="1">
        <v>0.22806650888598901</v>
      </c>
      <c r="G2" s="1">
        <v>0.30126318683077402</v>
      </c>
      <c r="H2" s="1">
        <v>0.15496585498110599</v>
      </c>
      <c r="I2" s="1">
        <v>0.13118013545038101</v>
      </c>
      <c r="J2" s="1">
        <v>4.8285029475614603E-2</v>
      </c>
      <c r="K2" s="1">
        <v>0.136239284376136</v>
      </c>
      <c r="L2" s="1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13</v>
      </c>
      <c r="L3" t="s">
        <v>15</v>
      </c>
      <c r="M3" t="s">
        <v>16</v>
      </c>
    </row>
    <row r="4" spans="1:13">
      <c r="A4">
        <v>2007</v>
      </c>
      <c r="B4">
        <v>6</v>
      </c>
      <c r="C4">
        <v>6</v>
      </c>
      <c r="D4">
        <v>5</v>
      </c>
      <c r="E4">
        <v>43.82</v>
      </c>
      <c r="F4" s="1">
        <v>0.5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f>F4*$F$2+G4*$G$2+H4*$H$2+I4*$I$2+J4*$J$2+K4*$K$2</f>
        <v>0.114033254442995</v>
      </c>
      <c r="M4">
        <f>E4*3600/(1000*$L$1)</f>
        <v>0.29701930083201999</v>
      </c>
    </row>
    <row r="5" spans="1:13">
      <c r="A5">
        <v>2007</v>
      </c>
      <c r="B5">
        <v>6</v>
      </c>
      <c r="C5">
        <v>6</v>
      </c>
      <c r="D5">
        <v>6</v>
      </c>
      <c r="E5">
        <v>38.9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0.5</v>
      </c>
      <c r="L5" s="1">
        <f t="shared" ref="L5:L36" si="0">F5*$F$2+G5*$G$2+H5*$H$2+I5*$I$2+J5*$J$2+K5*$K$2</f>
        <v>6.8119642188068E-2</v>
      </c>
      <c r="M5">
        <f t="shared" ref="M5:M36" si="1">E5*3600/(1000*$L$1)</f>
        <v>0.263670716621761</v>
      </c>
    </row>
    <row r="6" spans="1:13">
      <c r="A6">
        <v>2007</v>
      </c>
      <c r="B6">
        <v>6</v>
      </c>
      <c r="C6">
        <v>6</v>
      </c>
      <c r="D6">
        <v>7</v>
      </c>
      <c r="E6">
        <v>33.4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f t="shared" si="0"/>
        <v>0</v>
      </c>
      <c r="M6">
        <f t="shared" si="1"/>
        <v>0.226390795248505</v>
      </c>
    </row>
    <row r="7" spans="1:13">
      <c r="A7">
        <v>2007</v>
      </c>
      <c r="B7">
        <v>6</v>
      </c>
      <c r="C7">
        <v>6</v>
      </c>
      <c r="D7">
        <v>8</v>
      </c>
      <c r="E7">
        <v>31.2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f t="shared" si="0"/>
        <v>0</v>
      </c>
      <c r="M7">
        <f t="shared" si="1"/>
        <v>0.21147882669920201</v>
      </c>
    </row>
    <row r="8" spans="1:13">
      <c r="A8">
        <v>2007</v>
      </c>
      <c r="B8">
        <v>6</v>
      </c>
      <c r="C8">
        <v>6</v>
      </c>
      <c r="D8">
        <v>9</v>
      </c>
      <c r="E8">
        <v>38.67</v>
      </c>
      <c r="F8" s="1">
        <v>0</v>
      </c>
      <c r="G8" s="1">
        <v>0</v>
      </c>
      <c r="H8" s="1">
        <v>5</v>
      </c>
      <c r="I8" s="1">
        <v>0</v>
      </c>
      <c r="J8" s="1">
        <v>2.5</v>
      </c>
      <c r="K8" s="1">
        <v>0</v>
      </c>
      <c r="L8" s="1">
        <f t="shared" si="0"/>
        <v>0.89554184859456598</v>
      </c>
      <c r="M8">
        <f t="shared" si="1"/>
        <v>0.26211173809160698</v>
      </c>
    </row>
    <row r="9" spans="1:13">
      <c r="A9">
        <v>2007</v>
      </c>
      <c r="B9">
        <v>6</v>
      </c>
      <c r="C9">
        <v>6</v>
      </c>
      <c r="D9">
        <v>10</v>
      </c>
      <c r="E9">
        <v>32.42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f t="shared" si="0"/>
        <v>0</v>
      </c>
      <c r="M9">
        <f t="shared" si="1"/>
        <v>0.219748191076542</v>
      </c>
    </row>
    <row r="10" spans="1:13">
      <c r="A10">
        <v>2007</v>
      </c>
      <c r="B10">
        <v>6</v>
      </c>
      <c r="C10">
        <v>6</v>
      </c>
      <c r="D10">
        <v>11</v>
      </c>
      <c r="E10">
        <v>36.29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f t="shared" si="0"/>
        <v>0</v>
      </c>
      <c r="M10">
        <f t="shared" si="1"/>
        <v>0.24597969938827</v>
      </c>
    </row>
    <row r="11" spans="1:13">
      <c r="A11">
        <v>2007</v>
      </c>
      <c r="B11">
        <v>6</v>
      </c>
      <c r="C11">
        <v>6</v>
      </c>
      <c r="D11">
        <v>12</v>
      </c>
      <c r="E11">
        <v>44.23</v>
      </c>
      <c r="F11" s="1">
        <v>0</v>
      </c>
      <c r="G11" s="1">
        <v>0</v>
      </c>
      <c r="H11" s="1">
        <v>0.5</v>
      </c>
      <c r="I11" s="1">
        <v>0</v>
      </c>
      <c r="J11" s="1">
        <v>0</v>
      </c>
      <c r="K11" s="1">
        <v>0</v>
      </c>
      <c r="L11" s="1">
        <f t="shared" si="0"/>
        <v>7.7482927490552994E-2</v>
      </c>
      <c r="M11">
        <f t="shared" si="1"/>
        <v>0.29979834951620798</v>
      </c>
    </row>
    <row r="12" spans="1:13">
      <c r="A12">
        <v>2007</v>
      </c>
      <c r="B12">
        <v>6</v>
      </c>
      <c r="C12">
        <v>6</v>
      </c>
      <c r="D12">
        <v>13</v>
      </c>
      <c r="E12">
        <v>43.81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2.5</v>
      </c>
      <c r="L12" s="1">
        <f t="shared" si="0"/>
        <v>0.34059821094033998</v>
      </c>
      <c r="M12">
        <f t="shared" si="1"/>
        <v>0.29695151915679602</v>
      </c>
    </row>
    <row r="13" spans="1:13">
      <c r="A13">
        <v>2007</v>
      </c>
      <c r="B13">
        <v>6</v>
      </c>
      <c r="C13">
        <v>6</v>
      </c>
      <c r="D13">
        <v>14</v>
      </c>
      <c r="E13">
        <v>38</v>
      </c>
      <c r="F13" s="1">
        <v>0</v>
      </c>
      <c r="G13" s="1">
        <v>28</v>
      </c>
      <c r="H13" s="1">
        <v>0</v>
      </c>
      <c r="I13" s="1">
        <v>1.5</v>
      </c>
      <c r="J13" s="1">
        <v>0</v>
      </c>
      <c r="K13" s="1">
        <v>5</v>
      </c>
      <c r="L13" s="1">
        <f t="shared" si="0"/>
        <v>9.31333585631792</v>
      </c>
      <c r="M13">
        <f t="shared" si="1"/>
        <v>0.25757036585159199</v>
      </c>
    </row>
    <row r="14" spans="1:13">
      <c r="A14">
        <v>2007</v>
      </c>
      <c r="B14">
        <v>6</v>
      </c>
      <c r="C14">
        <v>6</v>
      </c>
      <c r="D14">
        <v>15</v>
      </c>
      <c r="E14">
        <v>33.590000000000003</v>
      </c>
      <c r="F14" s="1">
        <v>9</v>
      </c>
      <c r="G14" s="1">
        <v>0</v>
      </c>
      <c r="H14" s="1">
        <v>4.5</v>
      </c>
      <c r="I14" s="1">
        <v>3.5</v>
      </c>
      <c r="J14" s="1">
        <v>0.5</v>
      </c>
      <c r="K14" s="1">
        <v>5.5</v>
      </c>
      <c r="L14" s="1">
        <f t="shared" si="0"/>
        <v>3.9825339802717701</v>
      </c>
      <c r="M14">
        <f t="shared" si="1"/>
        <v>0.227678647077763</v>
      </c>
    </row>
    <row r="15" spans="1:13">
      <c r="A15">
        <v>2007</v>
      </c>
      <c r="B15">
        <v>6</v>
      </c>
      <c r="C15">
        <v>6</v>
      </c>
      <c r="D15">
        <v>16</v>
      </c>
      <c r="E15">
        <v>35.26</v>
      </c>
      <c r="F15" s="1">
        <v>8.5</v>
      </c>
      <c r="G15" s="1">
        <v>0</v>
      </c>
      <c r="H15" s="1">
        <v>0.73</v>
      </c>
      <c r="I15" s="1">
        <v>0</v>
      </c>
      <c r="J15" s="1">
        <v>1</v>
      </c>
      <c r="K15" s="1">
        <v>13.5</v>
      </c>
      <c r="L15" s="1">
        <f t="shared" si="0"/>
        <v>3.9392057682205599</v>
      </c>
      <c r="M15">
        <f t="shared" si="1"/>
        <v>0.238998186840188</v>
      </c>
    </row>
    <row r="16" spans="1:13">
      <c r="A16">
        <v>2007</v>
      </c>
      <c r="B16">
        <v>6</v>
      </c>
      <c r="C16">
        <v>6</v>
      </c>
      <c r="D16">
        <v>17</v>
      </c>
      <c r="E16">
        <v>40.4</v>
      </c>
      <c r="F16" s="1">
        <v>0</v>
      </c>
      <c r="G16" s="1">
        <v>0</v>
      </c>
      <c r="H16" s="1">
        <v>0.27</v>
      </c>
      <c r="I16" s="1">
        <v>0.5</v>
      </c>
      <c r="J16" s="1">
        <v>1.5</v>
      </c>
      <c r="K16" s="1">
        <v>23.5</v>
      </c>
      <c r="L16" s="1">
        <f t="shared" si="0"/>
        <v>3.3814815756227099</v>
      </c>
      <c r="M16">
        <f t="shared" si="1"/>
        <v>0.27383796790537701</v>
      </c>
    </row>
    <row r="17" spans="1:13">
      <c r="A17">
        <v>2007</v>
      </c>
      <c r="B17">
        <v>6</v>
      </c>
      <c r="C17">
        <v>6</v>
      </c>
      <c r="D17">
        <v>18</v>
      </c>
      <c r="E17">
        <v>42.67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0.5</v>
      </c>
      <c r="L17" s="1">
        <f t="shared" si="0"/>
        <v>6.8119642188068E-2</v>
      </c>
      <c r="M17">
        <f t="shared" si="1"/>
        <v>0.289224408181248</v>
      </c>
    </row>
    <row r="18" spans="1:13">
      <c r="A18">
        <v>2007</v>
      </c>
      <c r="B18">
        <v>6</v>
      </c>
      <c r="C18">
        <v>6</v>
      </c>
      <c r="D18">
        <v>19</v>
      </c>
      <c r="E18">
        <v>39.6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f t="shared" si="0"/>
        <v>0</v>
      </c>
      <c r="M18">
        <f t="shared" si="1"/>
        <v>0.26841543388744898</v>
      </c>
    </row>
    <row r="19" spans="1:13">
      <c r="A19">
        <v>2007</v>
      </c>
      <c r="B19">
        <v>6</v>
      </c>
      <c r="C19">
        <v>6</v>
      </c>
      <c r="D19">
        <v>20</v>
      </c>
      <c r="E19">
        <v>42.79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f t="shared" si="0"/>
        <v>0</v>
      </c>
      <c r="M19">
        <f t="shared" si="1"/>
        <v>0.290037788283937</v>
      </c>
    </row>
    <row r="20" spans="1:13">
      <c r="A20">
        <v>2007</v>
      </c>
      <c r="B20">
        <v>6</v>
      </c>
      <c r="C20">
        <v>6</v>
      </c>
      <c r="D20">
        <v>21</v>
      </c>
      <c r="E20">
        <v>47.4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f t="shared" si="0"/>
        <v>0</v>
      </c>
      <c r="M20">
        <f t="shared" si="1"/>
        <v>0.32128514056224899</v>
      </c>
    </row>
    <row r="21" spans="1:13">
      <c r="A21">
        <v>2007</v>
      </c>
      <c r="B21">
        <v>6</v>
      </c>
      <c r="C21">
        <v>6</v>
      </c>
      <c r="D21">
        <v>22</v>
      </c>
      <c r="E21">
        <v>45.6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f t="shared" si="0"/>
        <v>0</v>
      </c>
      <c r="M21">
        <f t="shared" si="1"/>
        <v>0.30908443902191002</v>
      </c>
    </row>
    <row r="22" spans="1:13">
      <c r="A22">
        <v>2007</v>
      </c>
      <c r="B22">
        <v>6</v>
      </c>
      <c r="C22">
        <v>6</v>
      </c>
      <c r="D22">
        <v>23</v>
      </c>
      <c r="E22">
        <v>42.75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f t="shared" si="0"/>
        <v>0</v>
      </c>
      <c r="M22">
        <f t="shared" si="1"/>
        <v>0.28976666158304099</v>
      </c>
    </row>
    <row r="23" spans="1:13">
      <c r="A23">
        <v>2007</v>
      </c>
      <c r="B23">
        <v>6</v>
      </c>
      <c r="C23">
        <v>7</v>
      </c>
      <c r="D23">
        <v>0</v>
      </c>
      <c r="E23">
        <v>37.200000000000003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f t="shared" si="0"/>
        <v>0</v>
      </c>
      <c r="M23">
        <f t="shared" si="1"/>
        <v>0.25214783183366402</v>
      </c>
    </row>
    <row r="24" spans="1:13">
      <c r="A24">
        <v>2007</v>
      </c>
      <c r="B24">
        <v>6</v>
      </c>
      <c r="C24">
        <v>7</v>
      </c>
      <c r="D24">
        <v>1</v>
      </c>
      <c r="E24">
        <v>36.64</v>
      </c>
      <c r="F24" s="1">
        <v>0.33</v>
      </c>
      <c r="G24" s="1">
        <v>0.67</v>
      </c>
      <c r="H24" s="1">
        <v>0</v>
      </c>
      <c r="I24" s="1">
        <v>0</v>
      </c>
      <c r="J24" s="1">
        <v>0.5</v>
      </c>
      <c r="K24" s="1">
        <v>0</v>
      </c>
      <c r="L24" s="1">
        <f t="shared" si="0"/>
        <v>0.30125079784680198</v>
      </c>
      <c r="M24">
        <f t="shared" si="1"/>
        <v>0.24835205802111401</v>
      </c>
    </row>
    <row r="25" spans="1:13">
      <c r="A25">
        <v>2007</v>
      </c>
      <c r="B25">
        <v>6</v>
      </c>
      <c r="C25">
        <v>7</v>
      </c>
      <c r="D25">
        <v>2</v>
      </c>
      <c r="E25">
        <v>44.02</v>
      </c>
      <c r="F25" s="1">
        <v>0.67</v>
      </c>
      <c r="G25" s="1">
        <v>1.33</v>
      </c>
      <c r="H25" s="1">
        <v>1</v>
      </c>
      <c r="I25" s="1">
        <v>1.17</v>
      </c>
      <c r="J25" s="1">
        <v>0</v>
      </c>
      <c r="K25" s="1">
        <v>0</v>
      </c>
      <c r="L25" s="1">
        <f t="shared" si="0"/>
        <v>0.86193121289659402</v>
      </c>
      <c r="M25">
        <f t="shared" si="1"/>
        <v>0.29837493433650197</v>
      </c>
    </row>
    <row r="26" spans="1:13">
      <c r="A26">
        <v>2007</v>
      </c>
      <c r="B26">
        <v>6</v>
      </c>
      <c r="C26">
        <v>7</v>
      </c>
      <c r="D26">
        <v>3</v>
      </c>
      <c r="E26">
        <v>37.229999999999997</v>
      </c>
      <c r="F26" s="1">
        <v>1</v>
      </c>
      <c r="G26" s="1">
        <v>3.5</v>
      </c>
      <c r="H26" s="1">
        <v>9</v>
      </c>
      <c r="I26" s="1">
        <v>2.33</v>
      </c>
      <c r="J26" s="1">
        <v>2.5</v>
      </c>
      <c r="K26" s="1">
        <v>0.33</v>
      </c>
      <c r="L26" s="1">
        <f t="shared" si="0"/>
        <v>3.1485016107561998</v>
      </c>
      <c r="M26">
        <f t="shared" si="1"/>
        <v>0.252351176859336</v>
      </c>
    </row>
    <row r="27" spans="1:13">
      <c r="A27">
        <v>2007</v>
      </c>
      <c r="B27">
        <v>6</v>
      </c>
      <c r="C27">
        <v>7</v>
      </c>
      <c r="D27">
        <v>4</v>
      </c>
      <c r="E27">
        <v>38.130000000000003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0.67</v>
      </c>
      <c r="L27" s="1">
        <f t="shared" si="0"/>
        <v>9.12803205320111E-2</v>
      </c>
      <c r="M27">
        <f t="shared" si="1"/>
        <v>0.25845152762950502</v>
      </c>
    </row>
    <row r="28" spans="1:13">
      <c r="A28">
        <v>2007</v>
      </c>
      <c r="B28">
        <v>6</v>
      </c>
      <c r="C28">
        <v>7</v>
      </c>
      <c r="D28">
        <v>5</v>
      </c>
      <c r="E28">
        <v>36.729999999999997</v>
      </c>
      <c r="F28" s="1">
        <v>0</v>
      </c>
      <c r="G28" s="1">
        <v>0</v>
      </c>
      <c r="H28" s="1">
        <v>0</v>
      </c>
      <c r="I28" s="1">
        <v>0</v>
      </c>
      <c r="J28" s="1">
        <v>0.83</v>
      </c>
      <c r="K28" s="1">
        <v>0</v>
      </c>
      <c r="L28" s="1">
        <f t="shared" si="0"/>
        <v>4.0076574464760102E-2</v>
      </c>
      <c r="M28">
        <f t="shared" si="1"/>
        <v>0.248962093098131</v>
      </c>
    </row>
    <row r="29" spans="1:13">
      <c r="A29">
        <v>2007</v>
      </c>
      <c r="B29">
        <v>6</v>
      </c>
      <c r="C29">
        <v>7</v>
      </c>
      <c r="D29">
        <v>6</v>
      </c>
      <c r="E29">
        <v>32.6</v>
      </c>
      <c r="F29" s="1">
        <v>17.5</v>
      </c>
      <c r="G29" s="1">
        <v>3</v>
      </c>
      <c r="H29" s="1">
        <v>3</v>
      </c>
      <c r="I29" s="1">
        <v>2.5</v>
      </c>
      <c r="J29" s="1">
        <v>1.67</v>
      </c>
      <c r="K29" s="1">
        <v>0</v>
      </c>
      <c r="L29" s="1">
        <f t="shared" si="0"/>
        <v>5.7684373687906803</v>
      </c>
      <c r="M29">
        <f t="shared" si="1"/>
        <v>0.220968261230576</v>
      </c>
    </row>
    <row r="30" spans="1:13">
      <c r="A30">
        <v>2007</v>
      </c>
      <c r="B30">
        <v>6</v>
      </c>
      <c r="C30">
        <v>7</v>
      </c>
      <c r="D30">
        <v>7</v>
      </c>
      <c r="E30">
        <v>51</v>
      </c>
      <c r="F30" s="1">
        <v>3</v>
      </c>
      <c r="G30" s="1">
        <v>0.5</v>
      </c>
      <c r="H30" s="1">
        <v>0</v>
      </c>
      <c r="I30" s="1">
        <v>6</v>
      </c>
      <c r="J30" s="1">
        <v>15</v>
      </c>
      <c r="K30" s="1">
        <v>7.5</v>
      </c>
      <c r="L30" s="1">
        <f t="shared" si="0"/>
        <v>3.36798200773088</v>
      </c>
      <c r="M30">
        <f t="shared" si="1"/>
        <v>0.345686543642926</v>
      </c>
    </row>
    <row r="31" spans="1:13">
      <c r="A31">
        <v>2007</v>
      </c>
      <c r="B31">
        <v>6</v>
      </c>
      <c r="C31">
        <v>7</v>
      </c>
      <c r="D31">
        <v>8</v>
      </c>
      <c r="E31">
        <v>56.4</v>
      </c>
      <c r="F31" s="1">
        <v>13</v>
      </c>
      <c r="G31" s="1">
        <v>4</v>
      </c>
      <c r="H31" s="1">
        <v>14.5</v>
      </c>
      <c r="I31" s="1">
        <v>15.5</v>
      </c>
      <c r="J31" s="1">
        <v>12.5</v>
      </c>
      <c r="K31" s="1">
        <v>18.5</v>
      </c>
      <c r="L31" s="1">
        <f t="shared" si="0"/>
        <v>11.5742039889516</v>
      </c>
      <c r="M31">
        <f t="shared" si="1"/>
        <v>0.38228864826394199</v>
      </c>
    </row>
    <row r="32" spans="1:13">
      <c r="A32">
        <v>2007</v>
      </c>
      <c r="B32">
        <v>6</v>
      </c>
      <c r="C32">
        <v>7</v>
      </c>
      <c r="D32">
        <v>9</v>
      </c>
      <c r="E32">
        <v>125</v>
      </c>
      <c r="F32" s="1">
        <v>2</v>
      </c>
      <c r="G32" s="1">
        <v>7</v>
      </c>
      <c r="H32" s="1">
        <v>9</v>
      </c>
      <c r="I32" s="1">
        <v>19.5</v>
      </c>
      <c r="J32" s="1">
        <v>24</v>
      </c>
      <c r="K32" s="1">
        <v>0.5</v>
      </c>
      <c r="L32" s="1">
        <f t="shared" si="0"/>
        <v>7.7446410113026003</v>
      </c>
      <c r="M32">
        <f t="shared" si="1"/>
        <v>0.84727094030129002</v>
      </c>
    </row>
    <row r="33" spans="1:13">
      <c r="A33">
        <v>2007</v>
      </c>
      <c r="B33">
        <v>6</v>
      </c>
      <c r="C33">
        <v>7</v>
      </c>
      <c r="D33">
        <v>10</v>
      </c>
      <c r="E33">
        <v>187.87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16</v>
      </c>
      <c r="L33" s="1">
        <f t="shared" si="0"/>
        <v>2.17982855001818</v>
      </c>
      <c r="M33">
        <f t="shared" si="1"/>
        <v>1.2734143324352301</v>
      </c>
    </row>
    <row r="34" spans="1:13">
      <c r="A34">
        <v>2007</v>
      </c>
      <c r="B34">
        <v>6</v>
      </c>
      <c r="C34">
        <v>7</v>
      </c>
      <c r="D34">
        <v>11</v>
      </c>
      <c r="E34">
        <v>180.3</v>
      </c>
      <c r="F34" s="1">
        <v>0</v>
      </c>
      <c r="G34" s="1">
        <v>0.5</v>
      </c>
      <c r="H34" s="1">
        <v>3</v>
      </c>
      <c r="I34" s="1">
        <v>0</v>
      </c>
      <c r="J34" s="1">
        <v>0</v>
      </c>
      <c r="K34" s="1">
        <v>2.5</v>
      </c>
      <c r="L34" s="1">
        <f t="shared" si="0"/>
        <v>0.95612736929904496</v>
      </c>
      <c r="M34">
        <f t="shared" si="1"/>
        <v>1.22210360429058</v>
      </c>
    </row>
    <row r="35" spans="1:13">
      <c r="A35">
        <v>2007</v>
      </c>
      <c r="B35">
        <v>6</v>
      </c>
      <c r="C35">
        <v>7</v>
      </c>
      <c r="D35">
        <v>12</v>
      </c>
      <c r="E35">
        <v>145.71</v>
      </c>
      <c r="F35" s="1">
        <v>0</v>
      </c>
      <c r="G35" s="1">
        <v>1</v>
      </c>
      <c r="H35" s="1">
        <v>4</v>
      </c>
      <c r="I35" s="1">
        <v>0</v>
      </c>
      <c r="J35" s="1">
        <v>0</v>
      </c>
      <c r="K35" s="1">
        <v>0</v>
      </c>
      <c r="L35" s="1">
        <f t="shared" si="0"/>
        <v>0.92112660675519797</v>
      </c>
      <c r="M35">
        <f t="shared" si="1"/>
        <v>0.98764678969040698</v>
      </c>
    </row>
    <row r="36" spans="1:13">
      <c r="A36">
        <v>2007</v>
      </c>
      <c r="B36">
        <v>6</v>
      </c>
      <c r="C36">
        <v>7</v>
      </c>
      <c r="D36">
        <v>13</v>
      </c>
      <c r="E36">
        <v>129.76</v>
      </c>
      <c r="F36" s="1">
        <v>17</v>
      </c>
      <c r="G36" s="1">
        <v>1.5</v>
      </c>
      <c r="H36" s="1">
        <v>11</v>
      </c>
      <c r="I36" s="1">
        <v>0</v>
      </c>
      <c r="J36" s="1">
        <v>0.33</v>
      </c>
      <c r="K36" s="1">
        <v>3</v>
      </c>
      <c r="L36" s="1">
        <f t="shared" si="0"/>
        <v>6.4583017489554999</v>
      </c>
      <c r="M36">
        <f t="shared" si="1"/>
        <v>0.87953501770796205</v>
      </c>
    </row>
    <row r="37" spans="1:13">
      <c r="A37">
        <v>2007</v>
      </c>
      <c r="B37">
        <v>6</v>
      </c>
      <c r="C37">
        <v>7</v>
      </c>
      <c r="D37">
        <v>14</v>
      </c>
      <c r="E37">
        <v>136.97999999999999</v>
      </c>
      <c r="F37" s="1">
        <v>0</v>
      </c>
      <c r="G37" s="1">
        <v>2</v>
      </c>
      <c r="H37" s="1">
        <v>0</v>
      </c>
      <c r="I37" s="1">
        <v>0</v>
      </c>
      <c r="J37" s="1">
        <v>0.67</v>
      </c>
      <c r="K37" s="1">
        <v>17</v>
      </c>
      <c r="L37" s="1">
        <f t="shared" ref="L37:L68" si="2">F37*$F$2+G37*$G$2+H37*$H$2+I37*$I$2+J37*$J$2+K37*$K$2</f>
        <v>2.9509451778045199</v>
      </c>
      <c r="M37">
        <f t="shared" ref="M37:M68" si="3">E37*3600/(1000*$L$1)</f>
        <v>0.92847338721976502</v>
      </c>
    </row>
    <row r="38" spans="1:13">
      <c r="A38">
        <v>2007</v>
      </c>
      <c r="B38">
        <v>6</v>
      </c>
      <c r="C38">
        <v>7</v>
      </c>
      <c r="D38">
        <v>15</v>
      </c>
      <c r="E38">
        <v>123.98</v>
      </c>
      <c r="F38" s="1">
        <v>1</v>
      </c>
      <c r="G38" s="1">
        <v>0</v>
      </c>
      <c r="H38" s="1">
        <v>12</v>
      </c>
      <c r="I38" s="1">
        <v>0</v>
      </c>
      <c r="J38" s="1">
        <v>0</v>
      </c>
      <c r="K38" s="1">
        <v>0</v>
      </c>
      <c r="L38" s="1">
        <f t="shared" si="2"/>
        <v>2.0876567686592602</v>
      </c>
      <c r="M38">
        <f t="shared" si="3"/>
        <v>0.84035720942843095</v>
      </c>
    </row>
    <row r="39" spans="1:13">
      <c r="A39">
        <v>2007</v>
      </c>
      <c r="B39">
        <v>6</v>
      </c>
      <c r="C39">
        <v>7</v>
      </c>
      <c r="D39">
        <v>16</v>
      </c>
      <c r="E39">
        <v>115.81</v>
      </c>
      <c r="F39" s="1">
        <v>0</v>
      </c>
      <c r="G39" s="1">
        <v>0</v>
      </c>
      <c r="H39" s="1">
        <v>5.5</v>
      </c>
      <c r="I39" s="1">
        <v>0</v>
      </c>
      <c r="J39" s="1">
        <v>0.83</v>
      </c>
      <c r="K39" s="1">
        <v>0</v>
      </c>
      <c r="L39" s="1">
        <f t="shared" si="2"/>
        <v>0.89238877686084295</v>
      </c>
      <c r="M39">
        <f t="shared" si="3"/>
        <v>0.78497958077033902</v>
      </c>
    </row>
    <row r="40" spans="1:13">
      <c r="A40">
        <v>2007</v>
      </c>
      <c r="B40">
        <v>6</v>
      </c>
      <c r="C40">
        <v>7</v>
      </c>
      <c r="D40">
        <v>17</v>
      </c>
      <c r="E40">
        <v>125.3</v>
      </c>
      <c r="F40" s="1">
        <v>0</v>
      </c>
      <c r="G40" s="1">
        <v>0.75</v>
      </c>
      <c r="H40" s="1">
        <v>21.5</v>
      </c>
      <c r="I40" s="1">
        <v>0</v>
      </c>
      <c r="J40" s="1">
        <v>1.67</v>
      </c>
      <c r="K40" s="1">
        <v>0</v>
      </c>
      <c r="L40" s="1">
        <f t="shared" si="2"/>
        <v>3.6383492714411401</v>
      </c>
      <c r="M40">
        <f t="shared" si="3"/>
        <v>0.84930439055801299</v>
      </c>
    </row>
    <row r="41" spans="1:13">
      <c r="A41">
        <v>2007</v>
      </c>
      <c r="B41">
        <v>6</v>
      </c>
      <c r="C41">
        <v>7</v>
      </c>
      <c r="D41">
        <v>18</v>
      </c>
      <c r="E41">
        <v>138</v>
      </c>
      <c r="F41" s="1">
        <v>0.67</v>
      </c>
      <c r="G41" s="1">
        <v>1.5</v>
      </c>
      <c r="H41" s="1">
        <v>3</v>
      </c>
      <c r="I41" s="1">
        <v>2.5</v>
      </c>
      <c r="J41" s="1">
        <v>4</v>
      </c>
      <c r="K41" s="1">
        <v>0</v>
      </c>
      <c r="L41" s="1">
        <f t="shared" si="2"/>
        <v>1.5906873626714999</v>
      </c>
      <c r="M41">
        <f t="shared" si="3"/>
        <v>0.93538711809262398</v>
      </c>
    </row>
    <row r="42" spans="1:13">
      <c r="A42">
        <v>2007</v>
      </c>
      <c r="B42">
        <v>6</v>
      </c>
      <c r="C42">
        <v>7</v>
      </c>
      <c r="D42">
        <v>19</v>
      </c>
      <c r="E42">
        <v>142</v>
      </c>
      <c r="F42" s="1">
        <v>1.33</v>
      </c>
      <c r="G42" s="1">
        <v>2.25</v>
      </c>
      <c r="H42" s="1">
        <v>1.5</v>
      </c>
      <c r="I42" s="1">
        <v>0</v>
      </c>
      <c r="J42" s="1">
        <v>1.41</v>
      </c>
      <c r="K42" s="1">
        <v>0.5</v>
      </c>
      <c r="L42" s="1">
        <f t="shared" si="2"/>
        <v>1.34982094340795</v>
      </c>
      <c r="M42">
        <f t="shared" si="3"/>
        <v>0.962499788182265</v>
      </c>
    </row>
    <row r="43" spans="1:13">
      <c r="A43">
        <v>2007</v>
      </c>
      <c r="B43">
        <v>6</v>
      </c>
      <c r="C43">
        <v>7</v>
      </c>
      <c r="D43">
        <v>20</v>
      </c>
      <c r="E43">
        <v>137.94999999999999</v>
      </c>
      <c r="F43" s="1">
        <v>5.5</v>
      </c>
      <c r="G43" s="1">
        <v>3.5</v>
      </c>
      <c r="H43" s="1">
        <v>3</v>
      </c>
      <c r="I43" s="1">
        <v>3</v>
      </c>
      <c r="J43" s="1">
        <v>1.0900000000000001</v>
      </c>
      <c r="K43" s="1">
        <v>1</v>
      </c>
      <c r="L43" s="1">
        <f t="shared" si="2"/>
        <v>3.3560948905796701</v>
      </c>
      <c r="M43">
        <f t="shared" si="3"/>
        <v>0.93504820971650304</v>
      </c>
    </row>
    <row r="44" spans="1:13">
      <c r="A44">
        <v>2007</v>
      </c>
      <c r="B44">
        <v>6</v>
      </c>
      <c r="C44">
        <v>7</v>
      </c>
      <c r="D44">
        <v>21</v>
      </c>
      <c r="E44">
        <v>133</v>
      </c>
      <c r="F44" s="1">
        <v>3.5</v>
      </c>
      <c r="G44" s="1">
        <v>3</v>
      </c>
      <c r="H44" s="1">
        <v>3</v>
      </c>
      <c r="I44" s="1">
        <v>2.5</v>
      </c>
      <c r="J44" s="1">
        <v>4</v>
      </c>
      <c r="K44" s="1">
        <v>3.5</v>
      </c>
      <c r="L44" s="1">
        <f t="shared" si="2"/>
        <v>3.1648478583814899</v>
      </c>
      <c r="M44">
        <f t="shared" si="3"/>
        <v>0.90149628048057195</v>
      </c>
    </row>
    <row r="45" spans="1:13">
      <c r="A45">
        <v>2007</v>
      </c>
      <c r="B45">
        <v>6</v>
      </c>
      <c r="C45">
        <v>7</v>
      </c>
      <c r="D45">
        <v>22</v>
      </c>
      <c r="E45">
        <v>131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3.5</v>
      </c>
      <c r="L45" s="1">
        <f t="shared" si="2"/>
        <v>0.47683749531647601</v>
      </c>
      <c r="M45">
        <f t="shared" si="3"/>
        <v>0.88793994543575105</v>
      </c>
    </row>
    <row r="46" spans="1:13">
      <c r="A46">
        <v>2007</v>
      </c>
      <c r="B46">
        <v>6</v>
      </c>
      <c r="C46">
        <v>7</v>
      </c>
      <c r="D46">
        <v>23</v>
      </c>
      <c r="E46">
        <v>123.23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f t="shared" si="2"/>
        <v>0</v>
      </c>
      <c r="M46">
        <f t="shared" si="3"/>
        <v>0.83527358378662298</v>
      </c>
    </row>
    <row r="47" spans="1:13">
      <c r="A47">
        <v>2007</v>
      </c>
      <c r="B47">
        <v>6</v>
      </c>
      <c r="C47">
        <v>8</v>
      </c>
      <c r="D47">
        <v>0</v>
      </c>
      <c r="E47">
        <v>114</v>
      </c>
      <c r="F47" s="1">
        <v>0</v>
      </c>
      <c r="G47" s="1">
        <v>0</v>
      </c>
      <c r="H47" s="1">
        <v>0.83</v>
      </c>
      <c r="I47" s="1">
        <v>0.5</v>
      </c>
      <c r="J47" s="1">
        <v>0</v>
      </c>
      <c r="K47" s="1">
        <v>0</v>
      </c>
      <c r="L47" s="1">
        <f t="shared" si="2"/>
        <v>0.19421172735950801</v>
      </c>
      <c r="M47">
        <f t="shared" si="3"/>
        <v>0.77271109755477596</v>
      </c>
    </row>
    <row r="48" spans="1:13">
      <c r="A48">
        <v>2007</v>
      </c>
      <c r="B48">
        <v>6</v>
      </c>
      <c r="C48">
        <v>8</v>
      </c>
      <c r="D48">
        <v>1</v>
      </c>
      <c r="E48">
        <v>110</v>
      </c>
      <c r="F48" s="1">
        <v>12</v>
      </c>
      <c r="G48" s="1">
        <v>4.5</v>
      </c>
      <c r="H48" s="1">
        <v>1.67</v>
      </c>
      <c r="I48" s="1">
        <v>8</v>
      </c>
      <c r="J48" s="1">
        <v>10</v>
      </c>
      <c r="K48" s="1">
        <v>0</v>
      </c>
      <c r="L48" s="1">
        <f t="shared" si="2"/>
        <v>5.88356680354799</v>
      </c>
      <c r="M48">
        <f t="shared" si="3"/>
        <v>0.74559842746513505</v>
      </c>
    </row>
    <row r="49" spans="1:13">
      <c r="A49">
        <v>2007</v>
      </c>
      <c r="B49">
        <v>6</v>
      </c>
      <c r="C49">
        <v>8</v>
      </c>
      <c r="D49">
        <v>2</v>
      </c>
      <c r="E49">
        <v>119</v>
      </c>
      <c r="F49" s="1">
        <v>7</v>
      </c>
      <c r="G49" s="1">
        <v>26</v>
      </c>
      <c r="H49" s="1">
        <v>7</v>
      </c>
      <c r="I49" s="1">
        <v>19</v>
      </c>
      <c r="J49" s="1">
        <v>12</v>
      </c>
      <c r="K49" s="1">
        <v>6.5</v>
      </c>
      <c r="L49" s="1">
        <f t="shared" si="2"/>
        <v>14.4714676803793</v>
      </c>
      <c r="M49">
        <f t="shared" si="3"/>
        <v>0.80660193516682799</v>
      </c>
    </row>
    <row r="50" spans="1:13">
      <c r="A50">
        <v>2007</v>
      </c>
      <c r="B50">
        <v>6</v>
      </c>
      <c r="C50">
        <v>8</v>
      </c>
      <c r="D50">
        <v>3</v>
      </c>
      <c r="E50">
        <v>187</v>
      </c>
      <c r="F50" s="1">
        <v>11</v>
      </c>
      <c r="G50" s="1">
        <v>10</v>
      </c>
      <c r="H50" s="1">
        <v>4</v>
      </c>
      <c r="I50" s="1">
        <v>26</v>
      </c>
      <c r="J50" s="1">
        <v>27</v>
      </c>
      <c r="K50" s="1">
        <v>7</v>
      </c>
      <c r="L50" s="1">
        <f t="shared" si="2"/>
        <v>11.8092811941625</v>
      </c>
      <c r="M50">
        <f t="shared" si="3"/>
        <v>1.26751732669073</v>
      </c>
    </row>
    <row r="51" spans="1:13">
      <c r="A51">
        <v>2007</v>
      </c>
      <c r="B51">
        <v>6</v>
      </c>
      <c r="C51">
        <v>8</v>
      </c>
      <c r="D51">
        <v>4</v>
      </c>
      <c r="E51">
        <v>237.02</v>
      </c>
      <c r="F51" s="1">
        <v>1.53</v>
      </c>
      <c r="G51" s="1">
        <v>0.5</v>
      </c>
      <c r="H51" s="1">
        <v>0</v>
      </c>
      <c r="I51" s="1">
        <v>0.5</v>
      </c>
      <c r="J51" s="1">
        <v>0.5</v>
      </c>
      <c r="K51" s="1">
        <v>4</v>
      </c>
      <c r="L51" s="1">
        <f t="shared" si="2"/>
        <v>1.1342630719784901</v>
      </c>
      <c r="M51">
        <f t="shared" si="3"/>
        <v>1.6065612661616899</v>
      </c>
    </row>
    <row r="52" spans="1:13">
      <c r="A52">
        <v>2007</v>
      </c>
      <c r="B52">
        <v>6</v>
      </c>
      <c r="C52">
        <v>8</v>
      </c>
      <c r="D52">
        <v>5</v>
      </c>
      <c r="E52">
        <v>250</v>
      </c>
      <c r="F52" s="1">
        <v>0.47</v>
      </c>
      <c r="G52" s="1">
        <v>12</v>
      </c>
      <c r="H52" s="1">
        <v>4.5</v>
      </c>
      <c r="I52" s="1">
        <v>11.5</v>
      </c>
      <c r="J52" s="1">
        <v>6.5</v>
      </c>
      <c r="K52" s="1">
        <v>4.5</v>
      </c>
      <c r="L52" s="1">
        <f t="shared" si="2"/>
        <v>6.8551968775241701</v>
      </c>
      <c r="M52">
        <f t="shared" si="3"/>
        <v>1.69454188060258</v>
      </c>
    </row>
    <row r="53" spans="1:13">
      <c r="A53">
        <v>2007</v>
      </c>
      <c r="B53">
        <v>6</v>
      </c>
      <c r="C53">
        <v>8</v>
      </c>
      <c r="D53">
        <v>6</v>
      </c>
      <c r="E53">
        <v>296</v>
      </c>
      <c r="F53" s="1">
        <v>20.5</v>
      </c>
      <c r="G53" s="1">
        <v>3.5</v>
      </c>
      <c r="H53" s="1">
        <v>4.5</v>
      </c>
      <c r="I53" s="1">
        <v>17</v>
      </c>
      <c r="J53" s="1">
        <v>14</v>
      </c>
      <c r="K53" s="1">
        <v>4</v>
      </c>
      <c r="L53" s="1">
        <f t="shared" si="2"/>
        <v>9.8781407863050905</v>
      </c>
      <c r="M53">
        <f t="shared" si="3"/>
        <v>2.0063375866334501</v>
      </c>
    </row>
    <row r="54" spans="1:13">
      <c r="A54">
        <v>2007</v>
      </c>
      <c r="B54">
        <v>6</v>
      </c>
      <c r="C54">
        <v>8</v>
      </c>
      <c r="D54">
        <v>7</v>
      </c>
      <c r="E54">
        <v>428</v>
      </c>
      <c r="F54" s="1">
        <v>0</v>
      </c>
      <c r="G54" s="1">
        <v>5.5</v>
      </c>
      <c r="H54" s="1">
        <v>12.5</v>
      </c>
      <c r="I54" s="1">
        <v>6.5</v>
      </c>
      <c r="J54" s="1">
        <v>13.5</v>
      </c>
      <c r="K54" s="1">
        <v>1.62</v>
      </c>
      <c r="L54" s="1">
        <f t="shared" si="2"/>
        <v>5.3192471338707001</v>
      </c>
      <c r="M54">
        <f t="shared" si="3"/>
        <v>2.9010556995916201</v>
      </c>
    </row>
    <row r="55" spans="1:13">
      <c r="A55">
        <v>2007</v>
      </c>
      <c r="B55">
        <v>6</v>
      </c>
      <c r="C55">
        <v>8</v>
      </c>
      <c r="D55">
        <v>8</v>
      </c>
      <c r="E55">
        <v>452</v>
      </c>
      <c r="F55" s="1">
        <v>1.5</v>
      </c>
      <c r="G55" s="1">
        <v>2</v>
      </c>
      <c r="H55" s="1">
        <v>0.5</v>
      </c>
      <c r="I55" s="1">
        <v>2.5</v>
      </c>
      <c r="J55" s="1">
        <v>10</v>
      </c>
      <c r="K55" s="1">
        <v>1.38</v>
      </c>
      <c r="L55" s="1">
        <f t="shared" si="2"/>
        <v>2.0209199103022502</v>
      </c>
      <c r="M55">
        <f t="shared" si="3"/>
        <v>3.0637317201294598</v>
      </c>
    </row>
    <row r="56" spans="1:13">
      <c r="A56">
        <v>2007</v>
      </c>
      <c r="B56">
        <v>6</v>
      </c>
      <c r="C56">
        <v>8</v>
      </c>
      <c r="D56">
        <v>9</v>
      </c>
      <c r="E56">
        <v>362.67</v>
      </c>
      <c r="F56" s="1">
        <v>0</v>
      </c>
      <c r="G56" s="1">
        <v>0</v>
      </c>
      <c r="H56" s="1">
        <v>0</v>
      </c>
      <c r="I56" s="1">
        <v>0</v>
      </c>
      <c r="J56" s="1">
        <v>0.5</v>
      </c>
      <c r="K56" s="1">
        <v>5</v>
      </c>
      <c r="L56" s="1">
        <f t="shared" si="2"/>
        <v>0.70533893661848701</v>
      </c>
      <c r="M56">
        <f t="shared" si="3"/>
        <v>2.45823801535255</v>
      </c>
    </row>
    <row r="57" spans="1:13">
      <c r="A57">
        <v>2007</v>
      </c>
      <c r="B57">
        <v>6</v>
      </c>
      <c r="C57">
        <v>8</v>
      </c>
      <c r="D57">
        <v>10</v>
      </c>
      <c r="E57">
        <v>314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f t="shared" si="2"/>
        <v>0</v>
      </c>
      <c r="M57">
        <f t="shared" si="3"/>
        <v>2.1283446020368402</v>
      </c>
    </row>
    <row r="58" spans="1:13">
      <c r="A58">
        <v>2007</v>
      </c>
      <c r="B58">
        <v>6</v>
      </c>
      <c r="C58">
        <v>8</v>
      </c>
      <c r="D58">
        <v>11</v>
      </c>
      <c r="E58">
        <v>269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f t="shared" si="2"/>
        <v>0</v>
      </c>
      <c r="M58">
        <f t="shared" si="3"/>
        <v>1.82332706352838</v>
      </c>
    </row>
    <row r="59" spans="1:13">
      <c r="A59">
        <v>2007</v>
      </c>
      <c r="B59">
        <v>6</v>
      </c>
      <c r="C59">
        <v>8</v>
      </c>
      <c r="D59">
        <v>12</v>
      </c>
      <c r="E59">
        <v>201.62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f t="shared" si="2"/>
        <v>0</v>
      </c>
      <c r="M59">
        <f t="shared" si="3"/>
        <v>1.3666141358683701</v>
      </c>
    </row>
    <row r="60" spans="1:13">
      <c r="A60">
        <v>2007</v>
      </c>
      <c r="B60">
        <v>6</v>
      </c>
      <c r="C60">
        <v>8</v>
      </c>
      <c r="D60">
        <v>13</v>
      </c>
      <c r="E60">
        <v>211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f t="shared" si="2"/>
        <v>0</v>
      </c>
      <c r="M60">
        <f t="shared" si="3"/>
        <v>1.4301933472285799</v>
      </c>
    </row>
    <row r="61" spans="1:13">
      <c r="A61">
        <v>2007</v>
      </c>
      <c r="B61">
        <v>6</v>
      </c>
      <c r="C61">
        <v>8</v>
      </c>
      <c r="D61">
        <v>14</v>
      </c>
      <c r="E61">
        <v>190</v>
      </c>
      <c r="F61" s="1">
        <v>0</v>
      </c>
      <c r="G61" s="1">
        <v>2.5</v>
      </c>
      <c r="H61" s="1">
        <v>0</v>
      </c>
      <c r="I61" s="1">
        <v>0</v>
      </c>
      <c r="J61" s="1">
        <v>0</v>
      </c>
      <c r="K61" s="1">
        <v>0</v>
      </c>
      <c r="L61" s="1">
        <f t="shared" si="2"/>
        <v>0.75315796707693505</v>
      </c>
      <c r="M61">
        <f t="shared" si="3"/>
        <v>1.2878518292579599</v>
      </c>
    </row>
    <row r="62" spans="1:13">
      <c r="A62">
        <v>2007</v>
      </c>
      <c r="B62">
        <v>6</v>
      </c>
      <c r="C62">
        <v>8</v>
      </c>
      <c r="D62">
        <v>15</v>
      </c>
      <c r="E62">
        <v>200.53</v>
      </c>
      <c r="F62" s="1">
        <v>0</v>
      </c>
      <c r="G62" s="1">
        <v>0</v>
      </c>
      <c r="H62" s="1">
        <v>0</v>
      </c>
      <c r="I62" s="1">
        <v>0</v>
      </c>
      <c r="J62" s="1">
        <v>0.5</v>
      </c>
      <c r="K62" s="1">
        <v>0.5</v>
      </c>
      <c r="L62" s="1">
        <f t="shared" si="2"/>
        <v>9.2262156925875305E-2</v>
      </c>
      <c r="M62">
        <f t="shared" si="3"/>
        <v>1.35922593326894</v>
      </c>
    </row>
    <row r="63" spans="1:13">
      <c r="A63">
        <v>2007</v>
      </c>
      <c r="B63">
        <v>6</v>
      </c>
      <c r="C63">
        <v>8</v>
      </c>
      <c r="D63">
        <v>16</v>
      </c>
      <c r="E63">
        <v>165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f t="shared" si="2"/>
        <v>0</v>
      </c>
      <c r="M63">
        <f t="shared" si="3"/>
        <v>1.1183976411976999</v>
      </c>
    </row>
    <row r="64" spans="1:13">
      <c r="A64">
        <v>2007</v>
      </c>
      <c r="B64">
        <v>6</v>
      </c>
      <c r="C64">
        <v>8</v>
      </c>
      <c r="D64">
        <v>17</v>
      </c>
      <c r="E64">
        <v>156</v>
      </c>
      <c r="F64" s="1">
        <v>0</v>
      </c>
      <c r="G64" s="1">
        <v>0</v>
      </c>
      <c r="H64" s="1">
        <v>1</v>
      </c>
      <c r="I64" s="1">
        <v>22</v>
      </c>
      <c r="J64" s="1">
        <v>11</v>
      </c>
      <c r="K64" s="1">
        <v>0</v>
      </c>
      <c r="L64" s="1">
        <f t="shared" si="2"/>
        <v>3.5720641591212501</v>
      </c>
      <c r="M64">
        <f t="shared" si="3"/>
        <v>1.05739413349601</v>
      </c>
    </row>
    <row r="65" spans="1:13">
      <c r="A65">
        <v>2007</v>
      </c>
      <c r="B65">
        <v>6</v>
      </c>
      <c r="C65">
        <v>8</v>
      </c>
      <c r="D65">
        <v>18</v>
      </c>
      <c r="E65">
        <v>189.01</v>
      </c>
      <c r="F65" s="1">
        <v>3</v>
      </c>
      <c r="G65" s="1">
        <v>0.75</v>
      </c>
      <c r="H65" s="1">
        <v>0</v>
      </c>
      <c r="I65" s="1">
        <v>13</v>
      </c>
      <c r="J65" s="1">
        <v>8</v>
      </c>
      <c r="K65" s="1">
        <v>0</v>
      </c>
      <c r="L65" s="1">
        <f t="shared" si="2"/>
        <v>3.00176891344092</v>
      </c>
      <c r="M65">
        <f t="shared" si="3"/>
        <v>1.28114144341077</v>
      </c>
    </row>
    <row r="66" spans="1:13">
      <c r="A66">
        <v>2007</v>
      </c>
      <c r="B66">
        <v>6</v>
      </c>
      <c r="C66">
        <v>8</v>
      </c>
      <c r="D66">
        <v>19</v>
      </c>
      <c r="E66">
        <v>203.97</v>
      </c>
      <c r="F66" s="1">
        <v>1.31</v>
      </c>
      <c r="G66" s="1">
        <v>1.5</v>
      </c>
      <c r="H66" s="1">
        <v>2</v>
      </c>
      <c r="I66" s="1">
        <v>3</v>
      </c>
      <c r="J66" s="1">
        <v>1.69</v>
      </c>
      <c r="K66" s="1">
        <v>0</v>
      </c>
      <c r="L66" s="1">
        <f t="shared" si="2"/>
        <v>1.5357357230139499</v>
      </c>
      <c r="M66">
        <f t="shared" si="3"/>
        <v>1.38254282954603</v>
      </c>
    </row>
    <row r="67" spans="1:13">
      <c r="A67">
        <v>2007</v>
      </c>
      <c r="B67">
        <v>6</v>
      </c>
      <c r="C67">
        <v>8</v>
      </c>
      <c r="D67">
        <v>20</v>
      </c>
      <c r="E67">
        <v>188</v>
      </c>
      <c r="F67" s="1">
        <v>1.19</v>
      </c>
      <c r="G67" s="1">
        <v>2.25</v>
      </c>
      <c r="H67" s="1">
        <v>4.5</v>
      </c>
      <c r="I67" s="1">
        <v>1</v>
      </c>
      <c r="J67" s="1">
        <v>0.81</v>
      </c>
      <c r="K67" s="1">
        <v>4.5</v>
      </c>
      <c r="L67" s="1">
        <f t="shared" si="2"/>
        <v>2.4299554523767899</v>
      </c>
      <c r="M67">
        <f t="shared" si="3"/>
        <v>1.2742954942131399</v>
      </c>
    </row>
    <row r="68" spans="1:13">
      <c r="A68">
        <v>2007</v>
      </c>
      <c r="B68">
        <v>6</v>
      </c>
      <c r="C68">
        <v>8</v>
      </c>
      <c r="D68">
        <v>21</v>
      </c>
      <c r="E68">
        <v>166</v>
      </c>
      <c r="F68" s="1">
        <v>0</v>
      </c>
      <c r="G68" s="1">
        <v>0.73</v>
      </c>
      <c r="H68" s="1">
        <v>0.5</v>
      </c>
      <c r="I68" s="1">
        <v>1.5</v>
      </c>
      <c r="J68" s="1">
        <v>0</v>
      </c>
      <c r="K68" s="1">
        <v>1</v>
      </c>
      <c r="L68" s="1">
        <f t="shared" si="2"/>
        <v>0.63041454142872599</v>
      </c>
      <c r="M68">
        <f t="shared" si="3"/>
        <v>1.12517580872011</v>
      </c>
    </row>
    <row r="69" spans="1:13">
      <c r="A69">
        <v>2007</v>
      </c>
      <c r="B69">
        <v>6</v>
      </c>
      <c r="C69">
        <v>8</v>
      </c>
      <c r="D69">
        <v>22</v>
      </c>
      <c r="E69">
        <v>155</v>
      </c>
      <c r="F69" s="1">
        <v>5</v>
      </c>
      <c r="G69" s="1">
        <v>0.27</v>
      </c>
      <c r="H69" s="1">
        <v>4</v>
      </c>
      <c r="I69" s="1">
        <v>5</v>
      </c>
      <c r="J69" s="1">
        <v>3.5</v>
      </c>
      <c r="K69" s="1">
        <v>0</v>
      </c>
      <c r="L69" s="1">
        <f t="shared" ref="L69:L100" si="4">F69*$F$2+G69*$G$2+H69*$H$2+I69*$I$2+J69*$J$2+K69*$K$2</f>
        <v>2.6664353052152299</v>
      </c>
      <c r="M69">
        <f t="shared" ref="M69:M100" si="5">E69*3600/(1000*$L$1)</f>
        <v>1.0506159659736001</v>
      </c>
    </row>
    <row r="70" spans="1:13">
      <c r="A70">
        <v>2007</v>
      </c>
      <c r="B70">
        <v>6</v>
      </c>
      <c r="C70">
        <v>8</v>
      </c>
      <c r="D70">
        <v>23</v>
      </c>
      <c r="E70">
        <v>150.4</v>
      </c>
      <c r="F70" s="1">
        <v>1.5</v>
      </c>
      <c r="G70" s="1">
        <v>0</v>
      </c>
      <c r="H70" s="1">
        <v>0</v>
      </c>
      <c r="I70" s="1">
        <v>1.5</v>
      </c>
      <c r="J70" s="1">
        <v>0.5</v>
      </c>
      <c r="K70" s="1">
        <v>0.5</v>
      </c>
      <c r="L70" s="1">
        <f t="shared" si="4"/>
        <v>0.63113212343043001</v>
      </c>
      <c r="M70">
        <f t="shared" si="5"/>
        <v>1.0194363953705099</v>
      </c>
    </row>
    <row r="71" spans="1:13">
      <c r="A71">
        <v>2007</v>
      </c>
      <c r="B71">
        <v>6</v>
      </c>
      <c r="C71">
        <v>9</v>
      </c>
      <c r="D71">
        <v>0</v>
      </c>
      <c r="E71">
        <v>149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f t="shared" si="4"/>
        <v>0</v>
      </c>
      <c r="M71">
        <f t="shared" si="5"/>
        <v>1.00994696083914</v>
      </c>
    </row>
    <row r="72" spans="1:13">
      <c r="A72">
        <v>2007</v>
      </c>
      <c r="B72">
        <v>6</v>
      </c>
      <c r="C72">
        <v>9</v>
      </c>
      <c r="D72">
        <v>1</v>
      </c>
      <c r="E72">
        <v>148.94</v>
      </c>
      <c r="F72" s="1">
        <v>0.42</v>
      </c>
      <c r="G72" s="1">
        <v>0.5</v>
      </c>
      <c r="H72" s="1">
        <v>0.3</v>
      </c>
      <c r="I72" s="1">
        <v>0.5</v>
      </c>
      <c r="J72" s="1">
        <v>0.25</v>
      </c>
      <c r="K72" s="1">
        <v>0</v>
      </c>
      <c r="L72" s="1">
        <f t="shared" si="4"/>
        <v>0.37057060873592801</v>
      </c>
      <c r="M72">
        <f t="shared" si="5"/>
        <v>1.0095402707877901</v>
      </c>
    </row>
    <row r="73" spans="1:13">
      <c r="A73">
        <v>2007</v>
      </c>
      <c r="B73">
        <v>6</v>
      </c>
      <c r="C73">
        <v>9</v>
      </c>
      <c r="D73">
        <v>2</v>
      </c>
      <c r="E73">
        <v>146.72</v>
      </c>
      <c r="F73" s="1">
        <v>0.83</v>
      </c>
      <c r="G73" s="1">
        <v>1</v>
      </c>
      <c r="H73" s="1">
        <v>0.6</v>
      </c>
      <c r="I73" s="1">
        <v>1</v>
      </c>
      <c r="J73" s="1">
        <v>0.5</v>
      </c>
      <c r="K73" s="1">
        <v>0.5</v>
      </c>
      <c r="L73" s="1">
        <f t="shared" si="4"/>
        <v>0.80698019457106496</v>
      </c>
      <c r="M73">
        <f t="shared" si="5"/>
        <v>0.99449273888804202</v>
      </c>
    </row>
    <row r="74" spans="1:13">
      <c r="A74">
        <v>2007</v>
      </c>
      <c r="B74">
        <v>6</v>
      </c>
      <c r="C74">
        <v>9</v>
      </c>
      <c r="D74">
        <v>3</v>
      </c>
      <c r="E74">
        <v>138.4</v>
      </c>
      <c r="F74" s="1">
        <v>1.25</v>
      </c>
      <c r="G74" s="1">
        <v>1.5</v>
      </c>
      <c r="H74" s="1">
        <v>0.9</v>
      </c>
      <c r="I74" s="1">
        <v>1.5</v>
      </c>
      <c r="J74" s="1">
        <v>0.75</v>
      </c>
      <c r="K74" s="1">
        <v>1</v>
      </c>
      <c r="L74" s="1">
        <f t="shared" si="4"/>
        <v>1.24567044549506</v>
      </c>
      <c r="M74">
        <f t="shared" si="5"/>
        <v>0.93809838510158805</v>
      </c>
    </row>
    <row r="75" spans="1:13">
      <c r="A75">
        <v>2007</v>
      </c>
      <c r="B75">
        <v>6</v>
      </c>
      <c r="C75">
        <v>9</v>
      </c>
      <c r="D75">
        <v>4</v>
      </c>
      <c r="E75">
        <v>121.41</v>
      </c>
      <c r="F75" s="1">
        <v>12.5</v>
      </c>
      <c r="G75" s="1">
        <v>2</v>
      </c>
      <c r="H75" s="1">
        <v>1.2</v>
      </c>
      <c r="I75" s="1">
        <v>8</v>
      </c>
      <c r="J75" s="1">
        <v>6.5</v>
      </c>
      <c r="K75" s="1">
        <v>0</v>
      </c>
      <c r="L75" s="1">
        <f t="shared" si="4"/>
        <v>5.0026105359082802</v>
      </c>
      <c r="M75">
        <f t="shared" si="5"/>
        <v>0.82293731889583699</v>
      </c>
    </row>
    <row r="76" spans="1:13">
      <c r="A76">
        <v>2007</v>
      </c>
      <c r="B76">
        <v>6</v>
      </c>
      <c r="C76">
        <v>9</v>
      </c>
      <c r="D76">
        <v>5</v>
      </c>
      <c r="E76">
        <v>121.06</v>
      </c>
      <c r="F76" s="1">
        <v>13</v>
      </c>
      <c r="G76" s="1">
        <v>3.5</v>
      </c>
      <c r="H76" s="1">
        <v>1.5</v>
      </c>
      <c r="I76" s="1">
        <v>4</v>
      </c>
      <c r="J76" s="1">
        <v>2.5</v>
      </c>
      <c r="K76" s="1">
        <v>5</v>
      </c>
      <c r="L76" s="1">
        <f t="shared" si="4"/>
        <v>5.5783640892684696</v>
      </c>
      <c r="M76">
        <f t="shared" si="5"/>
        <v>0.82056496026299297</v>
      </c>
    </row>
    <row r="77" spans="1:13">
      <c r="A77">
        <v>2007</v>
      </c>
      <c r="B77">
        <v>6</v>
      </c>
      <c r="C77">
        <v>9</v>
      </c>
      <c r="D77">
        <v>6</v>
      </c>
      <c r="E77">
        <v>139.13</v>
      </c>
      <c r="F77" s="1">
        <v>16.5</v>
      </c>
      <c r="G77" s="1">
        <v>4.5</v>
      </c>
      <c r="H77" s="1">
        <v>6</v>
      </c>
      <c r="I77" s="1">
        <v>8</v>
      </c>
      <c r="J77" s="1">
        <v>11.5</v>
      </c>
      <c r="K77" s="1">
        <v>7</v>
      </c>
      <c r="L77" s="1">
        <f t="shared" si="4"/>
        <v>8.6069707804494993</v>
      </c>
      <c r="M77">
        <f t="shared" si="5"/>
        <v>0.94304644739294696</v>
      </c>
    </row>
    <row r="78" spans="1:13">
      <c r="A78">
        <v>2007</v>
      </c>
      <c r="B78">
        <v>6</v>
      </c>
      <c r="C78">
        <v>9</v>
      </c>
      <c r="D78">
        <v>7</v>
      </c>
      <c r="E78">
        <v>152</v>
      </c>
      <c r="F78" s="1">
        <v>0.5</v>
      </c>
      <c r="G78" s="1">
        <v>0.5</v>
      </c>
      <c r="H78" s="1">
        <v>3</v>
      </c>
      <c r="I78" s="1">
        <v>1</v>
      </c>
      <c r="J78" s="1">
        <v>2.5</v>
      </c>
      <c r="K78" s="1">
        <v>15.5</v>
      </c>
      <c r="L78" s="1">
        <f t="shared" si="4"/>
        <v>3.0931640297712302</v>
      </c>
      <c r="M78">
        <f t="shared" si="5"/>
        <v>1.0302814634063699</v>
      </c>
    </row>
    <row r="79" spans="1:13">
      <c r="A79">
        <v>2007</v>
      </c>
      <c r="B79">
        <v>6</v>
      </c>
      <c r="C79">
        <v>9</v>
      </c>
      <c r="D79">
        <v>8</v>
      </c>
      <c r="E79">
        <v>149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1.96</v>
      </c>
      <c r="L79" s="1">
        <f t="shared" si="4"/>
        <v>0.26702899737722702</v>
      </c>
      <c r="M79">
        <f t="shared" si="5"/>
        <v>1.00994696083914</v>
      </c>
    </row>
    <row r="80" spans="1:13">
      <c r="A80">
        <v>2007</v>
      </c>
      <c r="B80">
        <v>6</v>
      </c>
      <c r="C80">
        <v>9</v>
      </c>
      <c r="D80">
        <v>9</v>
      </c>
      <c r="E80">
        <v>158.69999999999999</v>
      </c>
      <c r="F80" s="1">
        <v>1</v>
      </c>
      <c r="G80" s="1">
        <v>0</v>
      </c>
      <c r="H80" s="1">
        <v>0.5</v>
      </c>
      <c r="I80" s="1">
        <v>0</v>
      </c>
      <c r="J80" s="1">
        <v>0.5</v>
      </c>
      <c r="K80" s="1">
        <v>0.54</v>
      </c>
      <c r="L80" s="1">
        <f t="shared" si="4"/>
        <v>0.40326116467746298</v>
      </c>
      <c r="M80">
        <f t="shared" si="5"/>
        <v>1.07569518580652</v>
      </c>
    </row>
    <row r="81" spans="1:13">
      <c r="A81">
        <v>2007</v>
      </c>
      <c r="B81">
        <v>6</v>
      </c>
      <c r="C81">
        <v>9</v>
      </c>
      <c r="D81">
        <v>10</v>
      </c>
      <c r="E81">
        <v>171.5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f t="shared" si="4"/>
        <v>0</v>
      </c>
      <c r="M81">
        <f t="shared" si="5"/>
        <v>1.16245573009337</v>
      </c>
    </row>
    <row r="82" spans="1:13">
      <c r="A82">
        <v>2007</v>
      </c>
      <c r="B82">
        <v>6</v>
      </c>
      <c r="C82">
        <v>9</v>
      </c>
      <c r="D82">
        <v>11</v>
      </c>
      <c r="E82">
        <v>165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f t="shared" si="4"/>
        <v>0</v>
      </c>
      <c r="M82">
        <f t="shared" si="5"/>
        <v>1.1183976411976999</v>
      </c>
    </row>
    <row r="83" spans="1:13">
      <c r="A83">
        <v>2007</v>
      </c>
      <c r="B83">
        <v>6</v>
      </c>
      <c r="C83">
        <v>9</v>
      </c>
      <c r="D83">
        <v>12</v>
      </c>
      <c r="E83">
        <v>133.83000000000001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f t="shared" si="4"/>
        <v>0</v>
      </c>
      <c r="M83">
        <f t="shared" si="5"/>
        <v>0.90712215952417297</v>
      </c>
    </row>
    <row r="84" spans="1:13">
      <c r="A84">
        <v>2007</v>
      </c>
      <c r="B84">
        <v>6</v>
      </c>
      <c r="C84">
        <v>9</v>
      </c>
      <c r="D84">
        <v>13</v>
      </c>
      <c r="E84">
        <v>140.81</v>
      </c>
      <c r="F84" s="1">
        <v>6</v>
      </c>
      <c r="G84" s="1">
        <v>3.5</v>
      </c>
      <c r="H84" s="1">
        <v>3.5</v>
      </c>
      <c r="I84" s="1">
        <v>6.5</v>
      </c>
      <c r="J84" s="1">
        <v>1</v>
      </c>
      <c r="K84" s="1">
        <v>0</v>
      </c>
      <c r="L84" s="1">
        <f t="shared" si="4"/>
        <v>3.8661566095606101</v>
      </c>
      <c r="M84">
        <f t="shared" si="5"/>
        <v>0.95443376883059705</v>
      </c>
    </row>
    <row r="85" spans="1:13">
      <c r="A85">
        <v>2007</v>
      </c>
      <c r="B85">
        <v>6</v>
      </c>
      <c r="C85">
        <v>9</v>
      </c>
      <c r="D85">
        <v>14</v>
      </c>
      <c r="E85">
        <v>163.81</v>
      </c>
      <c r="F85" s="1">
        <v>15</v>
      </c>
      <c r="G85" s="1">
        <v>5.5</v>
      </c>
      <c r="H85" s="1">
        <v>1</v>
      </c>
      <c r="I85" s="1">
        <v>7</v>
      </c>
      <c r="J85" s="1">
        <v>2</v>
      </c>
      <c r="K85" s="1">
        <v>2</v>
      </c>
      <c r="L85" s="1">
        <f t="shared" si="4"/>
        <v>6.5202205916963702</v>
      </c>
      <c r="M85">
        <f t="shared" si="5"/>
        <v>1.11033162184603</v>
      </c>
    </row>
    <row r="86" spans="1:13">
      <c r="A86">
        <v>2007</v>
      </c>
      <c r="B86">
        <v>6</v>
      </c>
      <c r="C86">
        <v>9</v>
      </c>
      <c r="D86">
        <v>15</v>
      </c>
      <c r="E86">
        <v>172</v>
      </c>
      <c r="F86" s="1">
        <v>3</v>
      </c>
      <c r="G86" s="1">
        <v>12.5</v>
      </c>
      <c r="H86" s="1">
        <v>16</v>
      </c>
      <c r="I86" s="1">
        <v>7.5</v>
      </c>
      <c r="J86" s="1">
        <v>18.5</v>
      </c>
      <c r="K86" s="1">
        <v>17.5</v>
      </c>
      <c r="L86" s="1">
        <f t="shared" si="4"/>
        <v>11.1907545794994</v>
      </c>
      <c r="M86">
        <f t="shared" si="5"/>
        <v>1.1658448138545701</v>
      </c>
    </row>
    <row r="87" spans="1:13">
      <c r="A87">
        <v>2007</v>
      </c>
      <c r="B87">
        <v>6</v>
      </c>
      <c r="C87">
        <v>9</v>
      </c>
      <c r="D87">
        <v>16</v>
      </c>
      <c r="E87">
        <v>191</v>
      </c>
      <c r="F87" s="1">
        <v>1.5</v>
      </c>
      <c r="G87" s="1">
        <v>1</v>
      </c>
      <c r="H87" s="1">
        <v>1.97</v>
      </c>
      <c r="I87" s="1">
        <v>1.67</v>
      </c>
      <c r="J87" s="1">
        <v>2.06</v>
      </c>
      <c r="K87" s="1">
        <v>10</v>
      </c>
      <c r="L87" s="1">
        <f t="shared" si="4"/>
        <v>2.6295765151557999</v>
      </c>
      <c r="M87">
        <f t="shared" si="5"/>
        <v>1.2946299967803701</v>
      </c>
    </row>
    <row r="88" spans="1:13">
      <c r="A88">
        <v>2007</v>
      </c>
      <c r="B88">
        <v>6</v>
      </c>
      <c r="C88">
        <v>9</v>
      </c>
      <c r="D88">
        <v>17</v>
      </c>
      <c r="E88">
        <v>170.14</v>
      </c>
      <c r="F88" s="1">
        <v>0</v>
      </c>
      <c r="G88" s="1">
        <v>0</v>
      </c>
      <c r="H88" s="1">
        <v>0.53</v>
      </c>
      <c r="I88" s="1">
        <v>0.83</v>
      </c>
      <c r="J88" s="1">
        <v>1.33</v>
      </c>
      <c r="K88" s="1">
        <v>1.5</v>
      </c>
      <c r="L88" s="1">
        <f t="shared" si="4"/>
        <v>0.45958943133057401</v>
      </c>
      <c r="M88">
        <f t="shared" si="5"/>
        <v>1.1532374222628901</v>
      </c>
    </row>
    <row r="89" spans="1:13">
      <c r="A89">
        <v>2007</v>
      </c>
      <c r="B89">
        <v>6</v>
      </c>
      <c r="C89">
        <v>9</v>
      </c>
      <c r="D89">
        <v>18</v>
      </c>
      <c r="E89">
        <v>170.12</v>
      </c>
      <c r="F89" s="1">
        <v>0</v>
      </c>
      <c r="G89" s="1">
        <v>0</v>
      </c>
      <c r="H89" s="1">
        <v>0</v>
      </c>
      <c r="I89" s="1">
        <v>0</v>
      </c>
      <c r="J89" s="1">
        <v>0.6</v>
      </c>
      <c r="K89" s="1">
        <v>0.5</v>
      </c>
      <c r="L89" s="1">
        <f t="shared" si="4"/>
        <v>9.7090659873436805E-2</v>
      </c>
      <c r="M89">
        <f t="shared" si="5"/>
        <v>1.15310185891244</v>
      </c>
    </row>
    <row r="90" spans="1:13">
      <c r="A90">
        <v>2007</v>
      </c>
      <c r="B90">
        <v>6</v>
      </c>
      <c r="C90">
        <v>9</v>
      </c>
      <c r="D90">
        <v>19</v>
      </c>
      <c r="E90">
        <v>180.62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f t="shared" si="4"/>
        <v>0</v>
      </c>
      <c r="M90">
        <f t="shared" si="5"/>
        <v>1.2242726178977501</v>
      </c>
    </row>
    <row r="91" spans="1:13">
      <c r="A91">
        <v>2007</v>
      </c>
      <c r="B91">
        <v>6</v>
      </c>
      <c r="C91">
        <v>9</v>
      </c>
      <c r="D91">
        <v>20</v>
      </c>
      <c r="E91">
        <v>191.35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f t="shared" si="4"/>
        <v>0</v>
      </c>
      <c r="M91">
        <f t="shared" si="5"/>
        <v>1.29700235541321</v>
      </c>
    </row>
    <row r="92" spans="1:13">
      <c r="A92">
        <v>2007</v>
      </c>
      <c r="B92">
        <v>6</v>
      </c>
      <c r="C92">
        <v>9</v>
      </c>
      <c r="D92">
        <v>21</v>
      </c>
      <c r="E92">
        <v>192</v>
      </c>
      <c r="F92" s="1">
        <v>6</v>
      </c>
      <c r="G92" s="1">
        <v>2</v>
      </c>
      <c r="H92" s="1">
        <v>2</v>
      </c>
      <c r="I92" s="1">
        <v>4</v>
      </c>
      <c r="J92" s="1">
        <v>0.5</v>
      </c>
      <c r="K92" s="1">
        <v>0</v>
      </c>
      <c r="L92" s="1">
        <f t="shared" si="4"/>
        <v>2.8297201934790301</v>
      </c>
      <c r="M92">
        <f t="shared" si="5"/>
        <v>1.3014081643027799</v>
      </c>
    </row>
    <row r="93" spans="1:13">
      <c r="A93">
        <v>2007</v>
      </c>
      <c r="B93">
        <v>6</v>
      </c>
      <c r="C93">
        <v>9</v>
      </c>
      <c r="D93">
        <v>22</v>
      </c>
      <c r="E93">
        <v>180.08</v>
      </c>
      <c r="F93" s="1">
        <v>12.5</v>
      </c>
      <c r="G93" s="1">
        <v>7</v>
      </c>
      <c r="H93" s="1">
        <v>6</v>
      </c>
      <c r="I93" s="1">
        <v>7</v>
      </c>
      <c r="J93" s="1">
        <v>8</v>
      </c>
      <c r="K93" s="1">
        <v>4.5</v>
      </c>
      <c r="L93" s="1">
        <f t="shared" si="4"/>
        <v>7.8070867624271099</v>
      </c>
      <c r="M93">
        <f t="shared" si="5"/>
        <v>1.2206124074356499</v>
      </c>
    </row>
    <row r="94" spans="1:13">
      <c r="A94">
        <v>2007</v>
      </c>
      <c r="B94">
        <v>6</v>
      </c>
      <c r="C94">
        <v>9</v>
      </c>
      <c r="D94">
        <v>23</v>
      </c>
      <c r="E94">
        <v>181.11</v>
      </c>
      <c r="F94" s="1">
        <v>16.5</v>
      </c>
      <c r="G94" s="1">
        <v>11.5</v>
      </c>
      <c r="H94" s="1">
        <v>14</v>
      </c>
      <c r="I94" s="1">
        <v>9.5</v>
      </c>
      <c r="J94" s="1">
        <v>11.5</v>
      </c>
      <c r="K94" s="1">
        <v>8.5</v>
      </c>
      <c r="L94" s="1">
        <f t="shared" si="4"/>
        <v>12.3566690578535</v>
      </c>
      <c r="M94">
        <f t="shared" si="5"/>
        <v>1.22759391998373</v>
      </c>
    </row>
    <row r="95" spans="1:13">
      <c r="A95">
        <v>2007</v>
      </c>
      <c r="B95">
        <v>6</v>
      </c>
      <c r="C95">
        <v>10</v>
      </c>
      <c r="D95">
        <v>0</v>
      </c>
      <c r="E95">
        <v>195</v>
      </c>
      <c r="F95" s="1">
        <v>5</v>
      </c>
      <c r="G95" s="1">
        <v>8</v>
      </c>
      <c r="H95" s="1">
        <v>14.5</v>
      </c>
      <c r="I95" s="1">
        <v>6.5</v>
      </c>
      <c r="J95" s="1">
        <v>6.5</v>
      </c>
      <c r="K95" s="1">
        <v>20</v>
      </c>
      <c r="L95" s="1">
        <f t="shared" si="4"/>
        <v>9.6887521958438594</v>
      </c>
      <c r="M95">
        <f t="shared" si="5"/>
        <v>1.3217426668700101</v>
      </c>
    </row>
    <row r="96" spans="1:13">
      <c r="A96">
        <v>2007</v>
      </c>
      <c r="B96">
        <v>6</v>
      </c>
      <c r="C96">
        <v>10</v>
      </c>
      <c r="D96">
        <v>1</v>
      </c>
      <c r="E96">
        <v>207.83</v>
      </c>
      <c r="F96" s="1">
        <v>1.71</v>
      </c>
      <c r="G96" s="1">
        <v>4</v>
      </c>
      <c r="H96" s="1">
        <v>5</v>
      </c>
      <c r="I96" s="1">
        <v>3</v>
      </c>
      <c r="J96" s="1">
        <v>3</v>
      </c>
      <c r="K96" s="1">
        <v>5</v>
      </c>
      <c r="L96" s="1">
        <f t="shared" si="4"/>
        <v>3.5894676690823299</v>
      </c>
      <c r="M96">
        <f t="shared" si="5"/>
        <v>1.40870655618254</v>
      </c>
    </row>
    <row r="97" spans="1:13">
      <c r="A97">
        <v>2007</v>
      </c>
      <c r="B97">
        <v>6</v>
      </c>
      <c r="C97">
        <v>10</v>
      </c>
      <c r="D97">
        <v>2</v>
      </c>
      <c r="E97">
        <v>229</v>
      </c>
      <c r="F97" s="1">
        <v>1.29</v>
      </c>
      <c r="G97" s="1">
        <v>0.71</v>
      </c>
      <c r="H97" s="1">
        <v>1</v>
      </c>
      <c r="I97" s="1">
        <v>0.67</v>
      </c>
      <c r="J97" s="1">
        <v>1</v>
      </c>
      <c r="K97" s="1">
        <v>1.03</v>
      </c>
      <c r="L97" s="1">
        <f t="shared" si="4"/>
        <v>0.93957069722867104</v>
      </c>
      <c r="M97">
        <f t="shared" si="5"/>
        <v>1.55220036263196</v>
      </c>
    </row>
    <row r="98" spans="1:13">
      <c r="A98">
        <v>2007</v>
      </c>
      <c r="B98">
        <v>6</v>
      </c>
      <c r="C98">
        <v>10</v>
      </c>
      <c r="D98">
        <v>3</v>
      </c>
      <c r="E98">
        <v>265</v>
      </c>
      <c r="F98" s="1">
        <v>0</v>
      </c>
      <c r="G98" s="1">
        <v>0.28999999999999998</v>
      </c>
      <c r="H98" s="1">
        <v>0.92</v>
      </c>
      <c r="I98" s="1">
        <v>0.33</v>
      </c>
      <c r="J98" s="1">
        <v>0</v>
      </c>
      <c r="K98" s="1">
        <v>0.47</v>
      </c>
      <c r="L98" s="1">
        <f t="shared" si="4"/>
        <v>0.337256819118952</v>
      </c>
      <c r="M98">
        <f t="shared" si="5"/>
        <v>1.79621439343873</v>
      </c>
    </row>
    <row r="99" spans="1:13">
      <c r="A99">
        <v>2007</v>
      </c>
      <c r="B99">
        <v>6</v>
      </c>
      <c r="C99">
        <v>10</v>
      </c>
      <c r="D99">
        <v>4</v>
      </c>
      <c r="E99">
        <v>289.68</v>
      </c>
      <c r="F99" s="1">
        <v>0</v>
      </c>
      <c r="G99" s="1">
        <v>0</v>
      </c>
      <c r="H99" s="1">
        <v>0.83</v>
      </c>
      <c r="I99" s="1">
        <v>0</v>
      </c>
      <c r="J99" s="1">
        <v>0.5</v>
      </c>
      <c r="K99" s="1">
        <v>0</v>
      </c>
      <c r="L99" s="1">
        <f t="shared" si="4"/>
        <v>0.152764174372125</v>
      </c>
      <c r="M99">
        <f t="shared" si="5"/>
        <v>1.9634995678918199</v>
      </c>
    </row>
    <row r="100" spans="1:13">
      <c r="A100">
        <v>2007</v>
      </c>
      <c r="B100">
        <v>6</v>
      </c>
      <c r="C100">
        <v>10</v>
      </c>
      <c r="D100">
        <v>5</v>
      </c>
      <c r="E100">
        <v>280.32</v>
      </c>
      <c r="F100" s="1">
        <v>0</v>
      </c>
      <c r="G100" s="1">
        <v>0</v>
      </c>
      <c r="H100" s="1">
        <v>0.75</v>
      </c>
      <c r="I100" s="1">
        <v>0</v>
      </c>
      <c r="J100" s="1">
        <v>0</v>
      </c>
      <c r="K100" s="1">
        <v>0</v>
      </c>
      <c r="L100" s="1">
        <f t="shared" si="4"/>
        <v>0.11622439123582901</v>
      </c>
      <c r="M100">
        <f t="shared" si="5"/>
        <v>1.9000559198820599</v>
      </c>
    </row>
    <row r="101" spans="1:13">
      <c r="A101">
        <v>2007</v>
      </c>
      <c r="B101">
        <v>6</v>
      </c>
      <c r="C101">
        <v>10</v>
      </c>
      <c r="D101">
        <v>6</v>
      </c>
      <c r="E101">
        <v>244.23</v>
      </c>
      <c r="F101" s="1">
        <v>0.33</v>
      </c>
      <c r="G101" s="1">
        <v>0</v>
      </c>
      <c r="H101" s="1">
        <v>0</v>
      </c>
      <c r="I101" s="1">
        <v>0</v>
      </c>
      <c r="J101" s="1">
        <v>0.5</v>
      </c>
      <c r="K101" s="1">
        <v>0</v>
      </c>
      <c r="L101" s="1">
        <f t="shared" ref="L101:L132" si="6">F101*$F$2+G101*$G$2+H101*$H$2+I101*$I$2+J101*$J$2+K101*$K$2</f>
        <v>9.9404462670183699E-2</v>
      </c>
      <c r="M101">
        <f t="shared" ref="M101:M132" si="7">E101*3600/(1000*$L$1)</f>
        <v>1.65543185399827</v>
      </c>
    </row>
    <row r="102" spans="1:13">
      <c r="A102">
        <v>2007</v>
      </c>
      <c r="B102">
        <v>6</v>
      </c>
      <c r="C102">
        <v>10</v>
      </c>
      <c r="D102">
        <v>7</v>
      </c>
      <c r="E102">
        <v>219.32</v>
      </c>
      <c r="F102" s="1">
        <v>0.67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f t="shared" si="6"/>
        <v>0.152804560953613</v>
      </c>
      <c r="M102">
        <f t="shared" si="7"/>
        <v>1.4865877010150299</v>
      </c>
    </row>
    <row r="103" spans="1:13">
      <c r="A103">
        <v>2007</v>
      </c>
      <c r="B103">
        <v>6</v>
      </c>
      <c r="C103">
        <v>10</v>
      </c>
      <c r="D103">
        <v>8</v>
      </c>
      <c r="E103">
        <v>209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f t="shared" si="6"/>
        <v>0</v>
      </c>
      <c r="M103">
        <f t="shared" si="7"/>
        <v>1.4166370121837599</v>
      </c>
    </row>
    <row r="104" spans="1:13">
      <c r="A104">
        <v>2007</v>
      </c>
      <c r="B104">
        <v>6</v>
      </c>
      <c r="C104">
        <v>10</v>
      </c>
      <c r="D104">
        <v>9</v>
      </c>
      <c r="E104">
        <v>194.85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f t="shared" si="6"/>
        <v>0</v>
      </c>
      <c r="M104">
        <f t="shared" si="7"/>
        <v>1.3207259417416499</v>
      </c>
    </row>
    <row r="105" spans="1:13">
      <c r="A105">
        <v>2007</v>
      </c>
      <c r="B105">
        <v>6</v>
      </c>
      <c r="C105">
        <v>10</v>
      </c>
      <c r="D105">
        <v>10</v>
      </c>
      <c r="E105">
        <v>179.1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f t="shared" si="6"/>
        <v>0</v>
      </c>
      <c r="M105">
        <f t="shared" si="7"/>
        <v>1.2139698032636901</v>
      </c>
    </row>
    <row r="106" spans="1:13">
      <c r="A106">
        <v>2007</v>
      </c>
      <c r="B106">
        <v>6</v>
      </c>
      <c r="C106">
        <v>10</v>
      </c>
      <c r="D106">
        <v>11</v>
      </c>
      <c r="E106">
        <v>165.47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f t="shared" si="6"/>
        <v>0</v>
      </c>
      <c r="M106">
        <f t="shared" si="7"/>
        <v>1.12158337993324</v>
      </c>
    </row>
    <row r="107" spans="1:13">
      <c r="A107">
        <v>2007</v>
      </c>
      <c r="B107">
        <v>6</v>
      </c>
      <c r="C107">
        <v>10</v>
      </c>
      <c r="D107">
        <v>12</v>
      </c>
      <c r="E107">
        <v>155.19999999999999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f t="shared" si="6"/>
        <v>0</v>
      </c>
      <c r="M107">
        <f t="shared" si="7"/>
        <v>1.0519715994780801</v>
      </c>
    </row>
    <row r="108" spans="1:13">
      <c r="A108">
        <v>2007</v>
      </c>
      <c r="B108">
        <v>6</v>
      </c>
      <c r="C108">
        <v>10</v>
      </c>
      <c r="D108">
        <v>13</v>
      </c>
      <c r="E108">
        <v>148.08000000000001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f t="shared" si="6"/>
        <v>0</v>
      </c>
      <c r="M108">
        <f t="shared" si="7"/>
        <v>1.00371104671852</v>
      </c>
    </row>
    <row r="109" spans="1:13">
      <c r="A109">
        <v>2007</v>
      </c>
      <c r="B109">
        <v>6</v>
      </c>
      <c r="C109">
        <v>10</v>
      </c>
      <c r="D109">
        <v>14</v>
      </c>
      <c r="E109">
        <v>143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f t="shared" si="6"/>
        <v>0</v>
      </c>
      <c r="M109">
        <f t="shared" si="7"/>
        <v>0.96927795570467501</v>
      </c>
    </row>
    <row r="110" spans="1:13">
      <c r="A110">
        <v>2007</v>
      </c>
      <c r="B110">
        <v>6</v>
      </c>
      <c r="C110">
        <v>10</v>
      </c>
      <c r="D110">
        <v>15</v>
      </c>
      <c r="E110">
        <v>139.02000000000001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f t="shared" si="6"/>
        <v>0</v>
      </c>
      <c r="M110">
        <f t="shared" si="7"/>
        <v>0.94230084896548205</v>
      </c>
    </row>
    <row r="111" spans="1:13">
      <c r="A111">
        <v>2007</v>
      </c>
      <c r="B111">
        <v>6</v>
      </c>
      <c r="C111">
        <v>10</v>
      </c>
      <c r="D111">
        <v>16</v>
      </c>
      <c r="E111">
        <v>135.80000000000001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f t="shared" si="6"/>
        <v>0</v>
      </c>
      <c r="M111">
        <f t="shared" si="7"/>
        <v>0.92047514954332099</v>
      </c>
    </row>
    <row r="112" spans="1:13">
      <c r="A112">
        <v>2007</v>
      </c>
      <c r="B112">
        <v>6</v>
      </c>
      <c r="C112">
        <v>10</v>
      </c>
      <c r="D112">
        <v>17</v>
      </c>
      <c r="E112">
        <v>133.15</v>
      </c>
      <c r="F112" s="1">
        <v>0</v>
      </c>
      <c r="G112" s="1">
        <v>0</v>
      </c>
      <c r="H112" s="1">
        <v>0.5</v>
      </c>
      <c r="I112" s="1">
        <v>0</v>
      </c>
      <c r="J112" s="1">
        <v>0</v>
      </c>
      <c r="K112" s="1">
        <v>8</v>
      </c>
      <c r="L112" s="1">
        <f t="shared" si="6"/>
        <v>1.16739720249964</v>
      </c>
      <c r="M112">
        <f t="shared" si="7"/>
        <v>0.90251300560893399</v>
      </c>
    </row>
    <row r="113" spans="1:13">
      <c r="A113">
        <v>2007</v>
      </c>
      <c r="B113">
        <v>6</v>
      </c>
      <c r="C113">
        <v>10</v>
      </c>
      <c r="D113">
        <v>18</v>
      </c>
      <c r="E113">
        <v>130.88999999999999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f t="shared" si="6"/>
        <v>0</v>
      </c>
      <c r="M113">
        <f t="shared" si="7"/>
        <v>0.88719434700828603</v>
      </c>
    </row>
    <row r="114" spans="1:13">
      <c r="A114">
        <v>2007</v>
      </c>
      <c r="B114">
        <v>6</v>
      </c>
      <c r="C114">
        <v>10</v>
      </c>
      <c r="D114">
        <v>19</v>
      </c>
      <c r="E114">
        <v>128.83000000000001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f t="shared" si="6"/>
        <v>0</v>
      </c>
      <c r="M114">
        <f t="shared" si="7"/>
        <v>0.87323132191212105</v>
      </c>
    </row>
    <row r="115" spans="1:13">
      <c r="A115">
        <v>2007</v>
      </c>
      <c r="B115">
        <v>6</v>
      </c>
      <c r="C115">
        <v>10</v>
      </c>
      <c r="D115">
        <v>20</v>
      </c>
      <c r="E115">
        <v>126.79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0.5</v>
      </c>
      <c r="L115" s="1">
        <f t="shared" si="6"/>
        <v>6.8119642188068E-2</v>
      </c>
      <c r="M115">
        <f t="shared" si="7"/>
        <v>0.85940386016640402</v>
      </c>
    </row>
    <row r="116" spans="1:13">
      <c r="A116">
        <v>2007</v>
      </c>
      <c r="B116">
        <v>6</v>
      </c>
      <c r="C116">
        <v>10</v>
      </c>
      <c r="D116">
        <v>21</v>
      </c>
      <c r="E116">
        <v>124.57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f t="shared" si="6"/>
        <v>0</v>
      </c>
      <c r="M116">
        <f t="shared" si="7"/>
        <v>0.84435632826665297</v>
      </c>
    </row>
    <row r="117" spans="1:13">
      <c r="A117">
        <v>2007</v>
      </c>
      <c r="B117">
        <v>6</v>
      </c>
      <c r="C117">
        <v>10</v>
      </c>
      <c r="D117">
        <v>22</v>
      </c>
      <c r="E117">
        <v>121.99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f t="shared" si="6"/>
        <v>0</v>
      </c>
      <c r="M117">
        <f t="shared" si="7"/>
        <v>0.82686865605883497</v>
      </c>
    </row>
    <row r="118" spans="1:13">
      <c r="A118">
        <v>2007</v>
      </c>
      <c r="B118">
        <v>6</v>
      </c>
      <c r="C118">
        <v>10</v>
      </c>
      <c r="D118">
        <v>23</v>
      </c>
      <c r="E118">
        <v>118.86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7</v>
      </c>
      <c r="L118" s="1">
        <f t="shared" si="6"/>
        <v>0.95367499063295202</v>
      </c>
      <c r="M118">
        <f t="shared" si="7"/>
        <v>0.80565299171368998</v>
      </c>
    </row>
    <row r="119" spans="1:13">
      <c r="A119">
        <v>2007</v>
      </c>
      <c r="B119">
        <v>6</v>
      </c>
      <c r="C119">
        <v>11</v>
      </c>
      <c r="D119">
        <v>0</v>
      </c>
      <c r="E119">
        <v>115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f t="shared" si="6"/>
        <v>0</v>
      </c>
      <c r="M119">
        <f t="shared" si="7"/>
        <v>0.77948926507718597</v>
      </c>
    </row>
    <row r="120" spans="1:13">
      <c r="A120">
        <v>2007</v>
      </c>
      <c r="B120">
        <v>6</v>
      </c>
      <c r="C120">
        <v>11</v>
      </c>
      <c r="D120">
        <v>1</v>
      </c>
      <c r="E120">
        <v>110.43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f t="shared" si="6"/>
        <v>0</v>
      </c>
      <c r="M120">
        <f t="shared" si="7"/>
        <v>0.74851303949977099</v>
      </c>
    </row>
    <row r="121" spans="1:13">
      <c r="A121">
        <v>2007</v>
      </c>
      <c r="B121">
        <v>6</v>
      </c>
      <c r="C121">
        <v>11</v>
      </c>
      <c r="D121">
        <v>2</v>
      </c>
      <c r="E121">
        <v>106</v>
      </c>
      <c r="F121" s="1">
        <v>0.5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f t="shared" si="6"/>
        <v>0.114033254442995</v>
      </c>
      <c r="M121">
        <f t="shared" si="7"/>
        <v>0.71848575737549403</v>
      </c>
    </row>
    <row r="122" spans="1:13">
      <c r="A122">
        <v>2007</v>
      </c>
      <c r="B122">
        <v>6</v>
      </c>
      <c r="C122">
        <v>11</v>
      </c>
      <c r="D122">
        <v>3</v>
      </c>
      <c r="E122">
        <v>102.57</v>
      </c>
      <c r="F122" s="1">
        <v>1</v>
      </c>
      <c r="G122" s="1">
        <v>0.5</v>
      </c>
      <c r="H122" s="1">
        <v>0</v>
      </c>
      <c r="I122" s="1">
        <v>0.5</v>
      </c>
      <c r="J122" s="1">
        <v>0.5</v>
      </c>
      <c r="K122" s="1">
        <v>0</v>
      </c>
      <c r="L122" s="1">
        <f t="shared" si="6"/>
        <v>0.46843068476437399</v>
      </c>
      <c r="M122">
        <f t="shared" si="7"/>
        <v>0.69523664277362596</v>
      </c>
    </row>
    <row r="123" spans="1:13">
      <c r="A123">
        <v>2007</v>
      </c>
      <c r="B123">
        <v>6</v>
      </c>
      <c r="C123">
        <v>11</v>
      </c>
      <c r="D123">
        <v>4</v>
      </c>
      <c r="E123">
        <v>100.19</v>
      </c>
      <c r="F123" s="1">
        <v>0</v>
      </c>
      <c r="G123" s="1">
        <v>0</v>
      </c>
      <c r="H123" s="1">
        <v>0.5</v>
      </c>
      <c r="I123" s="1">
        <v>1</v>
      </c>
      <c r="J123" s="1">
        <v>0</v>
      </c>
      <c r="K123" s="1">
        <v>0</v>
      </c>
      <c r="L123" s="1">
        <f t="shared" si="6"/>
        <v>0.20866306294093401</v>
      </c>
      <c r="M123">
        <f t="shared" si="7"/>
        <v>0.67910460407029005</v>
      </c>
    </row>
    <row r="124" spans="1:13">
      <c r="A124">
        <v>2007</v>
      </c>
      <c r="B124">
        <v>6</v>
      </c>
      <c r="C124">
        <v>11</v>
      </c>
      <c r="D124">
        <v>5</v>
      </c>
      <c r="E124">
        <v>98.7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f t="shared" si="6"/>
        <v>0</v>
      </c>
      <c r="M124">
        <f t="shared" si="7"/>
        <v>0.66900513446189802</v>
      </c>
    </row>
    <row r="125" spans="1:13">
      <c r="A125">
        <v>2007</v>
      </c>
      <c r="B125">
        <v>6</v>
      </c>
      <c r="C125">
        <v>11</v>
      </c>
      <c r="D125">
        <v>6</v>
      </c>
      <c r="E125">
        <v>97.96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f t="shared" si="6"/>
        <v>0</v>
      </c>
      <c r="M125">
        <f t="shared" si="7"/>
        <v>0.66398929049531497</v>
      </c>
    </row>
    <row r="126" spans="1:13">
      <c r="A126">
        <v>2007</v>
      </c>
      <c r="B126">
        <v>6</v>
      </c>
      <c r="C126">
        <v>11</v>
      </c>
      <c r="D126">
        <v>7</v>
      </c>
      <c r="E126">
        <v>97.81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f t="shared" si="6"/>
        <v>0</v>
      </c>
      <c r="M126">
        <f t="shared" si="7"/>
        <v>0.66297256536695304</v>
      </c>
    </row>
    <row r="127" spans="1:13">
      <c r="A127">
        <v>2007</v>
      </c>
      <c r="B127">
        <v>6</v>
      </c>
      <c r="C127">
        <v>11</v>
      </c>
      <c r="D127">
        <v>8</v>
      </c>
      <c r="E127">
        <v>98.1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f t="shared" si="6"/>
        <v>0</v>
      </c>
      <c r="M127">
        <f t="shared" si="7"/>
        <v>0.66493823394845197</v>
      </c>
    </row>
    <row r="128" spans="1:13">
      <c r="A128">
        <v>2007</v>
      </c>
      <c r="B128">
        <v>6</v>
      </c>
      <c r="C128">
        <v>11</v>
      </c>
      <c r="D128">
        <v>9</v>
      </c>
      <c r="E128">
        <v>98.53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f t="shared" si="6"/>
        <v>0</v>
      </c>
      <c r="M128">
        <f t="shared" si="7"/>
        <v>0.66785284598308803</v>
      </c>
    </row>
    <row r="129" spans="1:13">
      <c r="A129">
        <v>2007</v>
      </c>
      <c r="B129">
        <v>6</v>
      </c>
      <c r="C129">
        <v>11</v>
      </c>
      <c r="D129">
        <v>10</v>
      </c>
      <c r="E129">
        <v>98.15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f t="shared" si="6"/>
        <v>0</v>
      </c>
      <c r="M129">
        <f t="shared" si="7"/>
        <v>0.66527714232457302</v>
      </c>
    </row>
    <row r="130" spans="1:13">
      <c r="A130">
        <v>2007</v>
      </c>
      <c r="B130">
        <v>6</v>
      </c>
      <c r="C130">
        <v>11</v>
      </c>
      <c r="D130">
        <v>11</v>
      </c>
      <c r="E130">
        <v>95.9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f t="shared" si="6"/>
        <v>0</v>
      </c>
      <c r="M130">
        <f t="shared" si="7"/>
        <v>0.65002626539914898</v>
      </c>
    </row>
    <row r="131" spans="1:13">
      <c r="A131">
        <v>2007</v>
      </c>
      <c r="B131">
        <v>6</v>
      </c>
      <c r="C131">
        <v>11</v>
      </c>
      <c r="D131">
        <v>12</v>
      </c>
      <c r="E131">
        <v>91.3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f t="shared" si="6"/>
        <v>0</v>
      </c>
      <c r="M131">
        <f t="shared" si="7"/>
        <v>0.61884669479606202</v>
      </c>
    </row>
    <row r="132" spans="1:13">
      <c r="A132">
        <v>2007</v>
      </c>
      <c r="B132">
        <v>6</v>
      </c>
      <c r="C132">
        <v>11</v>
      </c>
      <c r="D132">
        <v>13</v>
      </c>
      <c r="E132">
        <v>86.4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f t="shared" si="6"/>
        <v>0</v>
      </c>
      <c r="M132">
        <f t="shared" si="7"/>
        <v>0.58563367393625099</v>
      </c>
    </row>
    <row r="133" spans="1:13">
      <c r="A133">
        <v>2007</v>
      </c>
      <c r="B133">
        <v>6</v>
      </c>
      <c r="C133">
        <v>11</v>
      </c>
      <c r="D133">
        <v>14</v>
      </c>
      <c r="E133">
        <v>83.32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f t="shared" ref="L133:L154" si="8">F133*$F$2+G133*$G$2+H133*$H$2+I133*$I$2+J133*$J$2+K133*$K$2</f>
        <v>0</v>
      </c>
      <c r="M133">
        <f t="shared" ref="M133:M154" si="9">E133*3600/(1000*$L$1)</f>
        <v>0.56475691796722804</v>
      </c>
    </row>
    <row r="134" spans="1:13">
      <c r="A134">
        <v>2007</v>
      </c>
      <c r="B134">
        <v>6</v>
      </c>
      <c r="C134">
        <v>11</v>
      </c>
      <c r="D134">
        <v>15</v>
      </c>
      <c r="E134">
        <v>82.06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f t="shared" si="8"/>
        <v>0</v>
      </c>
      <c r="M134">
        <f t="shared" si="9"/>
        <v>0.55621642688899098</v>
      </c>
    </row>
    <row r="135" spans="1:13">
      <c r="A135">
        <v>2007</v>
      </c>
      <c r="B135">
        <v>6</v>
      </c>
      <c r="C135">
        <v>11</v>
      </c>
      <c r="D135">
        <v>16</v>
      </c>
      <c r="E135">
        <v>82.09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f t="shared" si="8"/>
        <v>0</v>
      </c>
      <c r="M135">
        <f t="shared" si="9"/>
        <v>0.55641977191466296</v>
      </c>
    </row>
    <row r="136" spans="1:13">
      <c r="A136">
        <v>2007</v>
      </c>
      <c r="B136">
        <v>6</v>
      </c>
      <c r="C136">
        <v>11</v>
      </c>
      <c r="D136">
        <v>17</v>
      </c>
      <c r="E136">
        <v>82.86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f t="shared" si="8"/>
        <v>0</v>
      </c>
      <c r="M136">
        <f t="shared" si="9"/>
        <v>0.561638960906919</v>
      </c>
    </row>
    <row r="137" spans="1:13">
      <c r="A137">
        <v>2007</v>
      </c>
      <c r="B137">
        <v>6</v>
      </c>
      <c r="C137">
        <v>11</v>
      </c>
      <c r="D137">
        <v>18</v>
      </c>
      <c r="E137">
        <v>83.85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f t="shared" si="8"/>
        <v>0</v>
      </c>
      <c r="M137">
        <f t="shared" si="9"/>
        <v>0.56834934675410498</v>
      </c>
    </row>
    <row r="138" spans="1:13">
      <c r="A138">
        <v>2007</v>
      </c>
      <c r="B138">
        <v>6</v>
      </c>
      <c r="C138">
        <v>11</v>
      </c>
      <c r="D138">
        <v>19</v>
      </c>
      <c r="E138">
        <v>84.51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f t="shared" si="8"/>
        <v>0</v>
      </c>
      <c r="M138">
        <f t="shared" si="9"/>
        <v>0.572822937318896</v>
      </c>
    </row>
    <row r="139" spans="1:13">
      <c r="A139">
        <v>2007</v>
      </c>
      <c r="B139">
        <v>6</v>
      </c>
      <c r="C139">
        <v>11</v>
      </c>
      <c r="D139">
        <v>20</v>
      </c>
      <c r="E139">
        <v>84.3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f t="shared" si="8"/>
        <v>0</v>
      </c>
      <c r="M139">
        <f t="shared" si="9"/>
        <v>0.57139952213918999</v>
      </c>
    </row>
    <row r="140" spans="1:13">
      <c r="A140">
        <v>2007</v>
      </c>
      <c r="B140">
        <v>6</v>
      </c>
      <c r="C140">
        <v>11</v>
      </c>
      <c r="D140">
        <v>21</v>
      </c>
      <c r="E140">
        <v>82.91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f t="shared" si="8"/>
        <v>0</v>
      </c>
      <c r="M140">
        <f t="shared" si="9"/>
        <v>0.56197786928303906</v>
      </c>
    </row>
    <row r="141" spans="1:13">
      <c r="A141">
        <v>2007</v>
      </c>
      <c r="B141">
        <v>6</v>
      </c>
      <c r="C141">
        <v>11</v>
      </c>
      <c r="D141">
        <v>22</v>
      </c>
      <c r="E141">
        <v>80.89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f t="shared" si="8"/>
        <v>0</v>
      </c>
      <c r="M141">
        <f t="shared" si="9"/>
        <v>0.54828597088777098</v>
      </c>
    </row>
    <row r="142" spans="1:13">
      <c r="A142">
        <v>2007</v>
      </c>
      <c r="B142">
        <v>6</v>
      </c>
      <c r="C142">
        <v>11</v>
      </c>
      <c r="D142">
        <v>23</v>
      </c>
      <c r="E142">
        <v>79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f t="shared" si="8"/>
        <v>0</v>
      </c>
      <c r="M142">
        <f t="shared" si="9"/>
        <v>0.53547523427041499</v>
      </c>
    </row>
    <row r="143" spans="1:13">
      <c r="A143">
        <v>2007</v>
      </c>
      <c r="B143">
        <v>6</v>
      </c>
      <c r="C143">
        <v>12</v>
      </c>
      <c r="D143">
        <v>0</v>
      </c>
      <c r="E143">
        <v>78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f t="shared" si="8"/>
        <v>0</v>
      </c>
      <c r="M143">
        <f t="shared" si="9"/>
        <v>0.52869706674800498</v>
      </c>
    </row>
    <row r="144" spans="1:13">
      <c r="A144">
        <v>2007</v>
      </c>
      <c r="B144">
        <v>6</v>
      </c>
      <c r="C144">
        <v>12</v>
      </c>
      <c r="D144">
        <v>1</v>
      </c>
      <c r="E144">
        <v>78.430000000000007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f t="shared" si="8"/>
        <v>0</v>
      </c>
      <c r="M144">
        <f t="shared" si="9"/>
        <v>0.53161167878264104</v>
      </c>
    </row>
    <row r="145" spans="1:13">
      <c r="A145">
        <v>2007</v>
      </c>
      <c r="B145">
        <v>6</v>
      </c>
      <c r="C145">
        <v>12</v>
      </c>
      <c r="D145">
        <v>2</v>
      </c>
      <c r="E145">
        <v>79.849999999999994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f t="shared" si="8"/>
        <v>0</v>
      </c>
      <c r="M145">
        <f t="shared" si="9"/>
        <v>0.54123667666446396</v>
      </c>
    </row>
    <row r="146" spans="1:13">
      <c r="A146">
        <v>2007</v>
      </c>
      <c r="B146">
        <v>6</v>
      </c>
      <c r="C146">
        <v>12</v>
      </c>
      <c r="D146">
        <v>3</v>
      </c>
      <c r="E146">
        <v>81.599999999999994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f t="shared" si="8"/>
        <v>0</v>
      </c>
      <c r="M146">
        <f t="shared" si="9"/>
        <v>0.55309846982868205</v>
      </c>
    </row>
    <row r="147" spans="1:13">
      <c r="A147">
        <v>2007</v>
      </c>
      <c r="B147">
        <v>6</v>
      </c>
      <c r="C147">
        <v>12</v>
      </c>
      <c r="D147">
        <v>4</v>
      </c>
      <c r="E147">
        <v>83.02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f t="shared" si="8"/>
        <v>0</v>
      </c>
      <c r="M147">
        <f t="shared" si="9"/>
        <v>0.56272346771050397</v>
      </c>
    </row>
    <row r="148" spans="1:13">
      <c r="A148">
        <v>2007</v>
      </c>
      <c r="B148">
        <v>6</v>
      </c>
      <c r="C148">
        <v>12</v>
      </c>
      <c r="D148">
        <v>5</v>
      </c>
      <c r="E148">
        <v>83.43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f t="shared" si="8"/>
        <v>0</v>
      </c>
      <c r="M148">
        <f t="shared" si="9"/>
        <v>0.56550251639469296</v>
      </c>
    </row>
    <row r="149" spans="1:13">
      <c r="A149">
        <v>2007</v>
      </c>
      <c r="B149">
        <v>6</v>
      </c>
      <c r="C149">
        <v>12</v>
      </c>
      <c r="D149">
        <v>6</v>
      </c>
      <c r="E149">
        <v>82.18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f t="shared" si="8"/>
        <v>0</v>
      </c>
      <c r="M149">
        <f t="shared" si="9"/>
        <v>0.55702980699168003</v>
      </c>
    </row>
    <row r="150" spans="1:13">
      <c r="A150">
        <v>2007</v>
      </c>
      <c r="B150">
        <v>6</v>
      </c>
      <c r="C150">
        <v>12</v>
      </c>
      <c r="D150">
        <v>7</v>
      </c>
      <c r="E150">
        <v>78.59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f t="shared" si="8"/>
        <v>0</v>
      </c>
      <c r="M150">
        <f t="shared" si="9"/>
        <v>0.532696185586227</v>
      </c>
    </row>
    <row r="151" spans="1:13">
      <c r="A151">
        <v>2007</v>
      </c>
      <c r="B151">
        <v>6</v>
      </c>
      <c r="C151">
        <v>12</v>
      </c>
      <c r="D151">
        <v>8</v>
      </c>
      <c r="E151">
        <v>72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f t="shared" si="8"/>
        <v>0</v>
      </c>
      <c r="M151">
        <f t="shared" si="9"/>
        <v>0.48802806161354301</v>
      </c>
    </row>
    <row r="152" spans="1:13">
      <c r="A152">
        <v>2007</v>
      </c>
      <c r="B152">
        <v>6</v>
      </c>
      <c r="C152">
        <v>12</v>
      </c>
      <c r="D152">
        <v>9</v>
      </c>
      <c r="E152">
        <v>63.03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f t="shared" si="8"/>
        <v>0</v>
      </c>
      <c r="M152">
        <f t="shared" si="9"/>
        <v>0.427227898937522</v>
      </c>
    </row>
    <row r="153" spans="1:13">
      <c r="A153">
        <v>2007</v>
      </c>
      <c r="B153">
        <v>6</v>
      </c>
      <c r="C153">
        <v>12</v>
      </c>
      <c r="D153">
        <v>10</v>
      </c>
      <c r="E153">
        <v>57.42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f t="shared" si="8"/>
        <v>0</v>
      </c>
      <c r="M153">
        <f t="shared" si="9"/>
        <v>0.3892023791368</v>
      </c>
    </row>
    <row r="154" spans="1:13">
      <c r="A154">
        <v>2007</v>
      </c>
      <c r="B154">
        <v>6</v>
      </c>
      <c r="C154">
        <v>12</v>
      </c>
      <c r="D154">
        <v>11</v>
      </c>
      <c r="E154">
        <v>62.2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f t="shared" si="8"/>
        <v>0</v>
      </c>
      <c r="M154">
        <f t="shared" si="9"/>
        <v>0.42160201989392199</v>
      </c>
    </row>
    <row r="157" spans="1:13">
      <c r="M157">
        <f>SUM(M4:M154)</f>
        <v>133.84949079016499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M191"/>
  <sheetViews>
    <sheetView workbookViewId="0">
      <selection activeCell="M2" sqref="M2"/>
    </sheetView>
  </sheetViews>
  <sheetFormatPr defaultColWidth="9" defaultRowHeight="15"/>
  <cols>
    <col min="12" max="13" width="12.5703125"/>
    <col min="20" max="20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13</v>
      </c>
      <c r="L3" t="s">
        <v>15</v>
      </c>
      <c r="M3" t="s">
        <v>16</v>
      </c>
    </row>
    <row r="4" spans="1:13">
      <c r="A4">
        <v>2008</v>
      </c>
      <c r="B4">
        <v>6</v>
      </c>
      <c r="C4">
        <v>12</v>
      </c>
      <c r="D4">
        <v>0</v>
      </c>
      <c r="E4">
        <v>54.1</v>
      </c>
      <c r="F4">
        <v>0.5</v>
      </c>
      <c r="G4">
        <v>0</v>
      </c>
      <c r="H4">
        <v>0</v>
      </c>
      <c r="I4">
        <v>0</v>
      </c>
      <c r="J4">
        <v>0</v>
      </c>
      <c r="K4">
        <v>0</v>
      </c>
      <c r="L4" s="1">
        <f>F4*$F$2+G4*$G$2+H4*$H$2+I4*$I$2+J4*$J$2+K4*$K$2</f>
        <v>0.114033254442995</v>
      </c>
      <c r="M4">
        <f>E4*3600/(1000*$L$1)</f>
        <v>0.36669886296239801</v>
      </c>
    </row>
    <row r="5" spans="1:13">
      <c r="A5">
        <v>2008</v>
      </c>
      <c r="B5">
        <v>6</v>
      </c>
      <c r="C5">
        <v>12</v>
      </c>
      <c r="D5">
        <v>1</v>
      </c>
      <c r="E5">
        <v>57.01</v>
      </c>
      <c r="F5">
        <v>0</v>
      </c>
      <c r="G5">
        <v>0</v>
      </c>
      <c r="H5">
        <v>0</v>
      </c>
      <c r="I5">
        <v>0</v>
      </c>
      <c r="J5">
        <v>0</v>
      </c>
      <c r="K5">
        <v>0.5</v>
      </c>
      <c r="L5" s="1">
        <f t="shared" ref="L5:L36" si="0">F5*$F$2+G5*$G$2+H5*$H$2+I5*$I$2+J5*$J$2+K5*$K$2</f>
        <v>6.8119642188068E-2</v>
      </c>
      <c r="M5">
        <f t="shared" ref="M5:M36" si="1">E5*3600/(1000*$L$1)</f>
        <v>0.38642333045261201</v>
      </c>
    </row>
    <row r="6" spans="1:13">
      <c r="A6">
        <v>2008</v>
      </c>
      <c r="B6">
        <v>6</v>
      </c>
      <c r="C6">
        <v>12</v>
      </c>
      <c r="D6">
        <v>2</v>
      </c>
      <c r="E6">
        <v>59.14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f t="shared" si="0"/>
        <v>0</v>
      </c>
      <c r="M6">
        <f t="shared" si="1"/>
        <v>0.400860827275346</v>
      </c>
    </row>
    <row r="7" spans="1:13">
      <c r="A7">
        <v>2008</v>
      </c>
      <c r="B7">
        <v>6</v>
      </c>
      <c r="C7">
        <v>12</v>
      </c>
      <c r="D7">
        <v>3</v>
      </c>
      <c r="E7">
        <v>60.1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">
        <f t="shared" si="0"/>
        <v>0</v>
      </c>
      <c r="M7">
        <f t="shared" si="1"/>
        <v>0.40736786809685999</v>
      </c>
    </row>
    <row r="8" spans="1:13">
      <c r="A8">
        <v>2008</v>
      </c>
      <c r="B8">
        <v>6</v>
      </c>
      <c r="C8">
        <v>12</v>
      </c>
      <c r="D8">
        <v>4</v>
      </c>
      <c r="E8">
        <v>59.54</v>
      </c>
      <c r="F8">
        <v>0</v>
      </c>
      <c r="G8">
        <v>0</v>
      </c>
      <c r="H8">
        <v>5</v>
      </c>
      <c r="I8">
        <v>0</v>
      </c>
      <c r="J8">
        <v>0</v>
      </c>
      <c r="K8">
        <v>0</v>
      </c>
      <c r="L8" s="1">
        <f t="shared" si="0"/>
        <v>0.77482927490553</v>
      </c>
      <c r="M8">
        <f t="shared" si="1"/>
        <v>0.40357209428431001</v>
      </c>
    </row>
    <row r="9" spans="1:13">
      <c r="A9">
        <v>2008</v>
      </c>
      <c r="B9">
        <v>6</v>
      </c>
      <c r="C9">
        <v>12</v>
      </c>
      <c r="D9">
        <v>5</v>
      </c>
      <c r="E9">
        <v>57.1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1">
        <f t="shared" si="0"/>
        <v>0</v>
      </c>
      <c r="M9">
        <f t="shared" si="1"/>
        <v>0.38703336552962903</v>
      </c>
    </row>
    <row r="10" spans="1:13">
      <c r="A10">
        <v>2008</v>
      </c>
      <c r="B10">
        <v>6</v>
      </c>
      <c r="C10">
        <v>12</v>
      </c>
      <c r="D10">
        <v>6</v>
      </c>
      <c r="E10">
        <v>53.18</v>
      </c>
      <c r="F10">
        <v>0.5</v>
      </c>
      <c r="G10">
        <v>0</v>
      </c>
      <c r="H10">
        <v>0</v>
      </c>
      <c r="I10">
        <v>0</v>
      </c>
      <c r="J10">
        <v>0</v>
      </c>
      <c r="K10">
        <v>0</v>
      </c>
      <c r="L10" s="1">
        <f t="shared" si="0"/>
        <v>0.114033254442995</v>
      </c>
      <c r="M10">
        <f t="shared" si="1"/>
        <v>0.36046294884178098</v>
      </c>
    </row>
    <row r="11" spans="1:13">
      <c r="A11">
        <v>2008</v>
      </c>
      <c r="B11">
        <v>6</v>
      </c>
      <c r="C11">
        <v>12</v>
      </c>
      <c r="D11">
        <v>7</v>
      </c>
      <c r="E11">
        <v>51.26</v>
      </c>
      <c r="F11">
        <v>3</v>
      </c>
      <c r="G11">
        <v>1</v>
      </c>
      <c r="H11">
        <v>0</v>
      </c>
      <c r="I11">
        <v>0.5</v>
      </c>
      <c r="J11">
        <v>0</v>
      </c>
      <c r="K11">
        <v>0</v>
      </c>
      <c r="L11" s="1">
        <f t="shared" si="0"/>
        <v>1.0510527812139301</v>
      </c>
      <c r="M11">
        <f t="shared" si="1"/>
        <v>0.34744886719875301</v>
      </c>
    </row>
    <row r="12" spans="1:13">
      <c r="A12">
        <v>2008</v>
      </c>
      <c r="B12">
        <v>6</v>
      </c>
      <c r="C12">
        <v>12</v>
      </c>
      <c r="D12">
        <v>8</v>
      </c>
      <c r="E12">
        <v>55.6</v>
      </c>
      <c r="F12">
        <v>5</v>
      </c>
      <c r="G12">
        <v>6.5</v>
      </c>
      <c r="H12">
        <v>6.5</v>
      </c>
      <c r="I12">
        <v>6</v>
      </c>
      <c r="J12">
        <v>2</v>
      </c>
      <c r="K12">
        <v>3.5</v>
      </c>
      <c r="L12" s="1">
        <f t="shared" si="0"/>
        <v>5.46630968317716</v>
      </c>
      <c r="M12">
        <f t="shared" si="1"/>
        <v>0.37686611424601402</v>
      </c>
    </row>
    <row r="13" spans="1:13">
      <c r="A13">
        <v>2008</v>
      </c>
      <c r="B13">
        <v>6</v>
      </c>
      <c r="C13">
        <v>12</v>
      </c>
      <c r="D13">
        <v>9</v>
      </c>
      <c r="E13">
        <v>67.849999999999994</v>
      </c>
      <c r="F13">
        <v>5</v>
      </c>
      <c r="G13">
        <v>8</v>
      </c>
      <c r="H13">
        <v>6.5</v>
      </c>
      <c r="I13">
        <v>12</v>
      </c>
      <c r="J13">
        <v>5.5</v>
      </c>
      <c r="K13">
        <v>18</v>
      </c>
      <c r="L13" s="1">
        <f t="shared" si="0"/>
        <v>8.8497525027442308</v>
      </c>
      <c r="M13">
        <f t="shared" si="1"/>
        <v>0.45989866639554</v>
      </c>
    </row>
    <row r="14" spans="1:13">
      <c r="A14">
        <v>2008</v>
      </c>
      <c r="B14">
        <v>6</v>
      </c>
      <c r="C14">
        <v>12</v>
      </c>
      <c r="D14">
        <v>10</v>
      </c>
      <c r="E14">
        <v>79.2</v>
      </c>
      <c r="F14">
        <v>2.12</v>
      </c>
      <c r="G14">
        <v>3</v>
      </c>
      <c r="H14">
        <v>3.5</v>
      </c>
      <c r="I14">
        <v>3</v>
      </c>
      <c r="J14">
        <v>1.48</v>
      </c>
      <c r="K14">
        <v>2.0499999999999998</v>
      </c>
      <c r="L14" s="1">
        <f t="shared" si="0"/>
        <v>2.6739638347106198</v>
      </c>
      <c r="M14">
        <f t="shared" si="1"/>
        <v>0.53683086777489697</v>
      </c>
    </row>
    <row r="15" spans="1:13">
      <c r="A15">
        <v>2008</v>
      </c>
      <c r="B15">
        <v>6</v>
      </c>
      <c r="C15">
        <v>12</v>
      </c>
      <c r="D15">
        <v>11</v>
      </c>
      <c r="E15">
        <v>82.04</v>
      </c>
      <c r="F15">
        <v>1.88</v>
      </c>
      <c r="G15">
        <v>1.5</v>
      </c>
      <c r="H15">
        <v>1.94</v>
      </c>
      <c r="I15">
        <v>0.9</v>
      </c>
      <c r="J15">
        <v>1.33</v>
      </c>
      <c r="K15">
        <v>1.33</v>
      </c>
      <c r="L15" s="1">
        <f t="shared" si="0"/>
        <v>1.54477303494334</v>
      </c>
      <c r="M15">
        <f t="shared" si="1"/>
        <v>0.55608086353854203</v>
      </c>
    </row>
    <row r="16" spans="1:13">
      <c r="A16">
        <v>2008</v>
      </c>
      <c r="B16">
        <v>6</v>
      </c>
      <c r="C16">
        <v>12</v>
      </c>
      <c r="D16">
        <v>12</v>
      </c>
      <c r="E16">
        <v>82.78</v>
      </c>
      <c r="F16">
        <v>4</v>
      </c>
      <c r="G16">
        <v>1.5</v>
      </c>
      <c r="H16">
        <v>2.06</v>
      </c>
      <c r="I16">
        <v>0.6</v>
      </c>
      <c r="J16">
        <v>1.19</v>
      </c>
      <c r="K16">
        <v>0.62</v>
      </c>
      <c r="L16" s="1">
        <f t="shared" si="0"/>
        <v>1.90402609971061</v>
      </c>
      <c r="M16">
        <f t="shared" si="1"/>
        <v>0.56109670750512597</v>
      </c>
    </row>
    <row r="17" spans="1:13">
      <c r="A17">
        <v>2008</v>
      </c>
      <c r="B17">
        <v>6</v>
      </c>
      <c r="C17">
        <v>12</v>
      </c>
      <c r="D17">
        <v>13</v>
      </c>
      <c r="E17">
        <v>79.2</v>
      </c>
      <c r="F17">
        <v>10.5</v>
      </c>
      <c r="G17">
        <v>7</v>
      </c>
      <c r="H17">
        <v>11</v>
      </c>
      <c r="I17">
        <v>7</v>
      </c>
      <c r="J17">
        <v>4</v>
      </c>
      <c r="K17">
        <v>4</v>
      </c>
      <c r="L17" s="1">
        <f t="shared" si="0"/>
        <v>7.8645232594701397</v>
      </c>
      <c r="M17">
        <f t="shared" si="1"/>
        <v>0.53683086777489697</v>
      </c>
    </row>
    <row r="18" spans="1:13">
      <c r="A18">
        <v>2008</v>
      </c>
      <c r="B18">
        <v>6</v>
      </c>
      <c r="C18">
        <v>12</v>
      </c>
      <c r="D18">
        <v>14</v>
      </c>
      <c r="E18">
        <v>82.2</v>
      </c>
      <c r="F18">
        <v>5.5</v>
      </c>
      <c r="G18">
        <v>1.64</v>
      </c>
      <c r="H18">
        <v>1.82</v>
      </c>
      <c r="I18">
        <v>5</v>
      </c>
      <c r="J18">
        <v>7.5</v>
      </c>
      <c r="K18">
        <v>7.5</v>
      </c>
      <c r="L18" s="1">
        <f t="shared" si="0"/>
        <v>4.0703083124810604</v>
      </c>
      <c r="M18">
        <f t="shared" si="1"/>
        <v>0.55716537034212799</v>
      </c>
    </row>
    <row r="19" spans="1:13">
      <c r="A19">
        <v>2008</v>
      </c>
      <c r="B19">
        <v>6</v>
      </c>
      <c r="C19">
        <v>12</v>
      </c>
      <c r="D19">
        <v>15</v>
      </c>
      <c r="E19">
        <v>141</v>
      </c>
      <c r="F19">
        <v>4.5</v>
      </c>
      <c r="G19">
        <v>0.86</v>
      </c>
      <c r="H19">
        <v>0.68</v>
      </c>
      <c r="I19">
        <v>1</v>
      </c>
      <c r="J19">
        <v>0.5</v>
      </c>
      <c r="K19">
        <v>0.5</v>
      </c>
      <c r="L19" s="1">
        <f t="shared" si="0"/>
        <v>1.61420470442482</v>
      </c>
      <c r="M19">
        <f t="shared" si="1"/>
        <v>0.955721620659855</v>
      </c>
    </row>
    <row r="20" spans="1:13">
      <c r="A20">
        <v>2008</v>
      </c>
      <c r="B20">
        <v>6</v>
      </c>
      <c r="C20">
        <v>12</v>
      </c>
      <c r="D20">
        <v>16</v>
      </c>
      <c r="E20">
        <v>172</v>
      </c>
      <c r="F20">
        <v>5</v>
      </c>
      <c r="G20">
        <v>6.5</v>
      </c>
      <c r="H20">
        <v>3.5</v>
      </c>
      <c r="I20">
        <v>5</v>
      </c>
      <c r="J20">
        <v>4.5</v>
      </c>
      <c r="K20">
        <v>5</v>
      </c>
      <c r="L20" s="1">
        <f t="shared" si="0"/>
        <v>5.1953034830367004</v>
      </c>
      <c r="M20">
        <f t="shared" si="1"/>
        <v>1.1658448138545701</v>
      </c>
    </row>
    <row r="21" spans="1:13">
      <c r="A21">
        <v>2008</v>
      </c>
      <c r="B21">
        <v>6</v>
      </c>
      <c r="C21">
        <v>12</v>
      </c>
      <c r="D21">
        <v>17</v>
      </c>
      <c r="E21">
        <v>170</v>
      </c>
      <c r="F21">
        <v>4.5</v>
      </c>
      <c r="G21">
        <v>4</v>
      </c>
      <c r="H21">
        <v>1.75</v>
      </c>
      <c r="I21">
        <v>4</v>
      </c>
      <c r="J21">
        <v>3.5</v>
      </c>
      <c r="K21">
        <v>5</v>
      </c>
      <c r="L21" s="1">
        <f t="shared" si="0"/>
        <v>3.8774568503738398</v>
      </c>
      <c r="M21">
        <f t="shared" si="1"/>
        <v>1.15228847880975</v>
      </c>
    </row>
    <row r="22" spans="1:13">
      <c r="A22">
        <v>2008</v>
      </c>
      <c r="B22">
        <v>6</v>
      </c>
      <c r="C22">
        <v>12</v>
      </c>
      <c r="D22">
        <v>18</v>
      </c>
      <c r="E22">
        <v>120</v>
      </c>
      <c r="F22">
        <v>1.5</v>
      </c>
      <c r="G22">
        <v>0.97</v>
      </c>
      <c r="H22">
        <v>1.75</v>
      </c>
      <c r="I22">
        <v>1</v>
      </c>
      <c r="J22">
        <v>1.5</v>
      </c>
      <c r="K22">
        <v>1.03</v>
      </c>
      <c r="L22" s="1">
        <f t="shared" si="0"/>
        <v>1.2494494433429899</v>
      </c>
      <c r="M22">
        <f t="shared" si="1"/>
        <v>0.81338010268923799</v>
      </c>
    </row>
    <row r="23" spans="1:13">
      <c r="A23">
        <v>2008</v>
      </c>
      <c r="B23">
        <v>6</v>
      </c>
      <c r="C23">
        <v>12</v>
      </c>
      <c r="D23">
        <v>19</v>
      </c>
      <c r="E23">
        <v>91.2</v>
      </c>
      <c r="F23">
        <v>0</v>
      </c>
      <c r="G23">
        <v>0.53</v>
      </c>
      <c r="H23">
        <v>0</v>
      </c>
      <c r="I23">
        <v>0</v>
      </c>
      <c r="J23">
        <v>0</v>
      </c>
      <c r="K23">
        <v>0.47</v>
      </c>
      <c r="L23" s="1">
        <f t="shared" si="0"/>
        <v>0.223701952677094</v>
      </c>
      <c r="M23">
        <f t="shared" si="1"/>
        <v>0.61816887804382104</v>
      </c>
    </row>
    <row r="24" spans="1:13">
      <c r="A24">
        <v>2008</v>
      </c>
      <c r="B24">
        <v>6</v>
      </c>
      <c r="C24">
        <v>12</v>
      </c>
      <c r="D24">
        <v>20</v>
      </c>
      <c r="E24">
        <v>87.2</v>
      </c>
      <c r="F24">
        <v>0</v>
      </c>
      <c r="G24">
        <v>0</v>
      </c>
      <c r="H24">
        <v>0</v>
      </c>
      <c r="I24">
        <v>0.5</v>
      </c>
      <c r="J24">
        <v>0</v>
      </c>
      <c r="K24">
        <v>0</v>
      </c>
      <c r="L24" s="1">
        <f t="shared" si="0"/>
        <v>6.5590067725190507E-2</v>
      </c>
      <c r="M24">
        <f t="shared" si="1"/>
        <v>0.59105620795418001</v>
      </c>
    </row>
    <row r="25" spans="1:13">
      <c r="A25">
        <v>2008</v>
      </c>
      <c r="B25">
        <v>6</v>
      </c>
      <c r="C25">
        <v>12</v>
      </c>
      <c r="D25">
        <v>21</v>
      </c>
      <c r="E25">
        <v>178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f t="shared" si="0"/>
        <v>0</v>
      </c>
      <c r="M25">
        <f t="shared" si="1"/>
        <v>1.2065138189890401</v>
      </c>
    </row>
    <row r="26" spans="1:13">
      <c r="A26">
        <v>2008</v>
      </c>
      <c r="B26">
        <v>6</v>
      </c>
      <c r="C26">
        <v>12</v>
      </c>
      <c r="D26">
        <v>22</v>
      </c>
      <c r="E26">
        <v>157</v>
      </c>
      <c r="F26">
        <v>2</v>
      </c>
      <c r="G26">
        <v>1.5</v>
      </c>
      <c r="H26">
        <v>0.5</v>
      </c>
      <c r="I26">
        <v>2</v>
      </c>
      <c r="J26">
        <v>1.17</v>
      </c>
      <c r="K26">
        <v>0.5</v>
      </c>
      <c r="L26" s="1">
        <f t="shared" si="0"/>
        <v>1.3724841230839899</v>
      </c>
      <c r="M26">
        <f t="shared" si="1"/>
        <v>1.0641723010184201</v>
      </c>
    </row>
    <row r="27" spans="1:13">
      <c r="A27">
        <v>2008</v>
      </c>
      <c r="B27">
        <v>6</v>
      </c>
      <c r="C27">
        <v>12</v>
      </c>
      <c r="D27">
        <v>23</v>
      </c>
      <c r="E27">
        <v>106</v>
      </c>
      <c r="F27">
        <v>21.5</v>
      </c>
      <c r="G27">
        <v>16</v>
      </c>
      <c r="H27">
        <v>1</v>
      </c>
      <c r="I27">
        <v>15.5</v>
      </c>
      <c r="J27">
        <v>2.33</v>
      </c>
      <c r="K27">
        <v>7</v>
      </c>
      <c r="L27" s="1">
        <f t="shared" si="0"/>
        <v>12.978077994114299</v>
      </c>
      <c r="M27">
        <f t="shared" si="1"/>
        <v>0.71848575737549403</v>
      </c>
    </row>
    <row r="28" spans="1:13">
      <c r="A28">
        <v>2008</v>
      </c>
      <c r="B28">
        <v>6</v>
      </c>
      <c r="C28">
        <v>13</v>
      </c>
      <c r="D28">
        <v>0</v>
      </c>
      <c r="E28">
        <v>312</v>
      </c>
      <c r="F28">
        <v>10</v>
      </c>
      <c r="G28">
        <v>14</v>
      </c>
      <c r="H28">
        <v>12</v>
      </c>
      <c r="I28">
        <v>15.5</v>
      </c>
      <c r="J28">
        <v>17</v>
      </c>
      <c r="K28">
        <v>26</v>
      </c>
      <c r="L28" s="1">
        <f t="shared" si="0"/>
        <v>14.754298958609899</v>
      </c>
      <c r="M28">
        <f t="shared" si="1"/>
        <v>2.1147882669920199</v>
      </c>
    </row>
    <row r="29" spans="1:13">
      <c r="A29">
        <v>2008</v>
      </c>
      <c r="B29">
        <v>6</v>
      </c>
      <c r="C29">
        <v>13</v>
      </c>
      <c r="D29">
        <v>1</v>
      </c>
      <c r="E29">
        <v>256</v>
      </c>
      <c r="F29">
        <v>0</v>
      </c>
      <c r="G29">
        <v>0.5</v>
      </c>
      <c r="H29">
        <v>2.5</v>
      </c>
      <c r="I29">
        <v>0.5</v>
      </c>
      <c r="J29">
        <v>2</v>
      </c>
      <c r="K29">
        <v>0.5</v>
      </c>
      <c r="L29" s="1">
        <f t="shared" si="0"/>
        <v>0.76832599973264004</v>
      </c>
      <c r="M29">
        <f t="shared" si="1"/>
        <v>1.7352108857370401</v>
      </c>
    </row>
    <row r="30" spans="1:13">
      <c r="A30">
        <v>2008</v>
      </c>
      <c r="B30">
        <v>6</v>
      </c>
      <c r="C30">
        <v>13</v>
      </c>
      <c r="D30">
        <v>2</v>
      </c>
      <c r="E30">
        <v>207.43</v>
      </c>
      <c r="F30">
        <v>0.5</v>
      </c>
      <c r="G30">
        <v>24.5</v>
      </c>
      <c r="H30">
        <v>4.5</v>
      </c>
      <c r="I30">
        <v>16</v>
      </c>
      <c r="J30">
        <v>3.5</v>
      </c>
      <c r="K30">
        <v>6</v>
      </c>
      <c r="L30" s="1">
        <f t="shared" si="0"/>
        <v>11.277643155839501</v>
      </c>
      <c r="M30">
        <f t="shared" si="1"/>
        <v>1.4059952891735701</v>
      </c>
    </row>
    <row r="31" spans="1:13">
      <c r="A31">
        <v>2008</v>
      </c>
      <c r="B31">
        <v>6</v>
      </c>
      <c r="C31">
        <v>13</v>
      </c>
      <c r="D31">
        <v>3</v>
      </c>
      <c r="E31">
        <v>218</v>
      </c>
      <c r="F31">
        <v>7</v>
      </c>
      <c r="G31">
        <v>14</v>
      </c>
      <c r="H31">
        <v>21</v>
      </c>
      <c r="I31">
        <v>28</v>
      </c>
      <c r="J31">
        <v>19</v>
      </c>
      <c r="K31">
        <v>36.5</v>
      </c>
      <c r="L31" s="1">
        <f t="shared" si="0"/>
        <v>18.631626364812298</v>
      </c>
      <c r="M31">
        <f t="shared" si="1"/>
        <v>1.4776405198854501</v>
      </c>
    </row>
    <row r="32" spans="1:13">
      <c r="A32">
        <v>2008</v>
      </c>
      <c r="B32">
        <v>6</v>
      </c>
      <c r="C32">
        <v>13</v>
      </c>
      <c r="D32">
        <v>4</v>
      </c>
      <c r="E32">
        <v>376</v>
      </c>
      <c r="F32">
        <v>8</v>
      </c>
      <c r="G32">
        <v>8</v>
      </c>
      <c r="H32">
        <v>16.5</v>
      </c>
      <c r="I32">
        <v>10</v>
      </c>
      <c r="J32">
        <v>15</v>
      </c>
      <c r="K32">
        <v>7.5</v>
      </c>
      <c r="L32" s="1">
        <f t="shared" si="0"/>
        <v>9.8494456023813992</v>
      </c>
      <c r="M32">
        <f t="shared" si="1"/>
        <v>2.5485909884262798</v>
      </c>
    </row>
    <row r="33" spans="1:13">
      <c r="A33">
        <v>2008</v>
      </c>
      <c r="B33">
        <v>6</v>
      </c>
      <c r="C33">
        <v>13</v>
      </c>
      <c r="D33">
        <v>5</v>
      </c>
      <c r="E33">
        <v>449</v>
      </c>
      <c r="F33">
        <v>14</v>
      </c>
      <c r="G33">
        <v>24</v>
      </c>
      <c r="H33">
        <v>9.5</v>
      </c>
      <c r="I33">
        <v>17</v>
      </c>
      <c r="J33">
        <v>7</v>
      </c>
      <c r="K33">
        <v>11.5</v>
      </c>
      <c r="L33" s="1">
        <f t="shared" si="0"/>
        <v>16.030232509974301</v>
      </c>
      <c r="M33">
        <f t="shared" si="1"/>
        <v>3.0433972175622301</v>
      </c>
    </row>
    <row r="34" spans="1:13">
      <c r="A34">
        <v>2008</v>
      </c>
      <c r="B34">
        <v>6</v>
      </c>
      <c r="C34">
        <v>13</v>
      </c>
      <c r="D34">
        <v>6</v>
      </c>
      <c r="E34">
        <v>503.61</v>
      </c>
      <c r="F34">
        <v>9</v>
      </c>
      <c r="G34">
        <v>15.5</v>
      </c>
      <c r="H34">
        <v>9</v>
      </c>
      <c r="I34">
        <v>16</v>
      </c>
      <c r="J34">
        <v>15.5</v>
      </c>
      <c r="K34">
        <v>22</v>
      </c>
      <c r="L34" s="1">
        <f t="shared" si="0"/>
        <v>13.961435051034</v>
      </c>
      <c r="M34">
        <f t="shared" si="1"/>
        <v>3.4135529459610598</v>
      </c>
    </row>
    <row r="35" spans="1:13">
      <c r="A35">
        <v>2008</v>
      </c>
      <c r="B35">
        <v>6</v>
      </c>
      <c r="C35">
        <v>13</v>
      </c>
      <c r="D35">
        <v>7</v>
      </c>
      <c r="E35">
        <v>531</v>
      </c>
      <c r="F35">
        <v>5</v>
      </c>
      <c r="G35">
        <v>5</v>
      </c>
      <c r="H35">
        <v>5</v>
      </c>
      <c r="I35">
        <v>4.5</v>
      </c>
      <c r="J35">
        <v>4</v>
      </c>
      <c r="K35">
        <v>6.5</v>
      </c>
      <c r="L35" s="1">
        <f t="shared" si="0"/>
        <v>5.0904838293634</v>
      </c>
      <c r="M35">
        <f t="shared" si="1"/>
        <v>3.5992069543998801</v>
      </c>
    </row>
    <row r="36" spans="1:13">
      <c r="A36">
        <v>2008</v>
      </c>
      <c r="B36">
        <v>6</v>
      </c>
      <c r="C36">
        <v>13</v>
      </c>
      <c r="D36">
        <v>8</v>
      </c>
      <c r="E36">
        <v>524</v>
      </c>
      <c r="F36">
        <v>3</v>
      </c>
      <c r="G36">
        <v>1.5</v>
      </c>
      <c r="H36">
        <v>3.5</v>
      </c>
      <c r="I36">
        <v>1.5</v>
      </c>
      <c r="J36">
        <v>1.5</v>
      </c>
      <c r="K36">
        <v>2</v>
      </c>
      <c r="L36" s="1">
        <f t="shared" si="0"/>
        <v>2.2201511154792599</v>
      </c>
      <c r="M36">
        <f t="shared" si="1"/>
        <v>3.55175978174301</v>
      </c>
    </row>
    <row r="37" spans="1:13">
      <c r="A37">
        <v>2008</v>
      </c>
      <c r="B37">
        <v>6</v>
      </c>
      <c r="C37">
        <v>13</v>
      </c>
      <c r="D37">
        <v>9</v>
      </c>
      <c r="E37">
        <v>526</v>
      </c>
      <c r="F37">
        <v>1.39</v>
      </c>
      <c r="G37">
        <v>1.27</v>
      </c>
      <c r="H37">
        <v>1.5</v>
      </c>
      <c r="I37">
        <v>0.49</v>
      </c>
      <c r="J37">
        <v>0.65</v>
      </c>
      <c r="K37">
        <v>1.36</v>
      </c>
      <c r="L37" s="1">
        <f t="shared" ref="L37:L68" si="2">F37*$F$2+G37*$G$2+H37*$H$2+I37*$I$2+J37*$J$2+K37*$K$2</f>
        <v>1.21301443937965</v>
      </c>
      <c r="M37">
        <f t="shared" ref="M37:M68" si="3">E37*3600/(1000*$L$1)</f>
        <v>3.5653161167878298</v>
      </c>
    </row>
    <row r="38" spans="1:13">
      <c r="A38">
        <v>2008</v>
      </c>
      <c r="B38">
        <v>6</v>
      </c>
      <c r="C38">
        <v>13</v>
      </c>
      <c r="D38">
        <v>10</v>
      </c>
      <c r="E38">
        <v>512</v>
      </c>
      <c r="F38">
        <v>1.8</v>
      </c>
      <c r="G38">
        <v>1.33</v>
      </c>
      <c r="H38">
        <v>4</v>
      </c>
      <c r="I38">
        <v>0.6</v>
      </c>
      <c r="J38">
        <v>0.87</v>
      </c>
      <c r="K38">
        <v>1.64</v>
      </c>
      <c r="L38" s="1">
        <f t="shared" si="2"/>
        <v>1.7752116576950101</v>
      </c>
      <c r="M38">
        <f t="shared" si="3"/>
        <v>3.4704217714740802</v>
      </c>
    </row>
    <row r="39" spans="1:13">
      <c r="A39">
        <v>2008</v>
      </c>
      <c r="B39">
        <v>6</v>
      </c>
      <c r="C39">
        <v>13</v>
      </c>
      <c r="D39">
        <v>11</v>
      </c>
      <c r="E39">
        <v>477.44</v>
      </c>
      <c r="F39">
        <v>2.2000000000000002</v>
      </c>
      <c r="G39">
        <v>1.01</v>
      </c>
      <c r="H39">
        <v>0</v>
      </c>
      <c r="I39">
        <v>0.7</v>
      </c>
      <c r="J39">
        <v>1.1000000000000001</v>
      </c>
      <c r="K39">
        <v>0</v>
      </c>
      <c r="L39" s="1">
        <f t="shared" si="2"/>
        <v>0.95096176548669997</v>
      </c>
      <c r="M39">
        <f t="shared" si="3"/>
        <v>3.2361683018995802</v>
      </c>
    </row>
    <row r="40" spans="1:13">
      <c r="A40">
        <v>2008</v>
      </c>
      <c r="B40">
        <v>6</v>
      </c>
      <c r="C40">
        <v>13</v>
      </c>
      <c r="D40">
        <v>12</v>
      </c>
      <c r="E40">
        <v>419</v>
      </c>
      <c r="F40">
        <v>2.61</v>
      </c>
      <c r="G40">
        <v>0</v>
      </c>
      <c r="H40">
        <v>0.45</v>
      </c>
      <c r="I40">
        <v>0.8</v>
      </c>
      <c r="J40">
        <v>1.33</v>
      </c>
      <c r="K40">
        <v>1</v>
      </c>
      <c r="L40" s="1">
        <f t="shared" si="2"/>
        <v>0.97039070487293699</v>
      </c>
      <c r="M40">
        <f t="shared" si="3"/>
        <v>2.84005219188992</v>
      </c>
    </row>
    <row r="41" spans="1:13">
      <c r="A41">
        <v>2008</v>
      </c>
      <c r="B41">
        <v>6</v>
      </c>
      <c r="C41">
        <v>13</v>
      </c>
      <c r="D41">
        <v>13</v>
      </c>
      <c r="E41">
        <v>385</v>
      </c>
      <c r="F41">
        <v>0</v>
      </c>
      <c r="G41">
        <v>0</v>
      </c>
      <c r="H41">
        <v>0.9</v>
      </c>
      <c r="I41">
        <v>0.91</v>
      </c>
      <c r="J41">
        <v>1.55</v>
      </c>
      <c r="K41">
        <v>0</v>
      </c>
      <c r="L41" s="1">
        <f t="shared" si="2"/>
        <v>0.33368498843004502</v>
      </c>
      <c r="M41">
        <f t="shared" si="3"/>
        <v>2.6095944961279698</v>
      </c>
    </row>
    <row r="42" spans="1:13">
      <c r="A42">
        <v>2008</v>
      </c>
      <c r="B42">
        <v>6</v>
      </c>
      <c r="C42">
        <v>13</v>
      </c>
      <c r="D42">
        <v>14</v>
      </c>
      <c r="E42">
        <v>272.29000000000002</v>
      </c>
      <c r="F42">
        <v>0.5</v>
      </c>
      <c r="G42">
        <v>0.08</v>
      </c>
      <c r="H42">
        <v>1.35</v>
      </c>
      <c r="I42">
        <v>0</v>
      </c>
      <c r="J42">
        <v>0</v>
      </c>
      <c r="K42">
        <v>0.4</v>
      </c>
      <c r="L42" s="1">
        <f t="shared" si="2"/>
        <v>0.40183392736440399</v>
      </c>
      <c r="M42">
        <f t="shared" si="3"/>
        <v>1.8456272346771101</v>
      </c>
    </row>
    <row r="43" spans="1:13">
      <c r="A43">
        <v>2008</v>
      </c>
      <c r="B43">
        <v>6</v>
      </c>
      <c r="C43">
        <v>13</v>
      </c>
      <c r="D43">
        <v>15</v>
      </c>
      <c r="E43">
        <v>269</v>
      </c>
      <c r="F43">
        <v>1</v>
      </c>
      <c r="G43">
        <v>0.25</v>
      </c>
      <c r="H43">
        <v>1.8</v>
      </c>
      <c r="I43">
        <v>0.42</v>
      </c>
      <c r="J43">
        <v>0.5</v>
      </c>
      <c r="K43">
        <v>0.8</v>
      </c>
      <c r="L43" s="1">
        <f t="shared" si="2"/>
        <v>0.77055044368754899</v>
      </c>
      <c r="M43">
        <f t="shared" si="3"/>
        <v>1.82332706352838</v>
      </c>
    </row>
    <row r="44" spans="1:13">
      <c r="A44">
        <v>2008</v>
      </c>
      <c r="B44">
        <v>6</v>
      </c>
      <c r="C44">
        <v>13</v>
      </c>
      <c r="D44">
        <v>16</v>
      </c>
      <c r="E44">
        <v>262.73</v>
      </c>
      <c r="F44">
        <v>1.5</v>
      </c>
      <c r="G44">
        <v>0.5</v>
      </c>
      <c r="H44">
        <v>3</v>
      </c>
      <c r="I44">
        <v>0.83</v>
      </c>
      <c r="J44">
        <v>0</v>
      </c>
      <c r="K44">
        <v>1.2</v>
      </c>
      <c r="L44" s="1">
        <f t="shared" si="2"/>
        <v>1.22999557536287</v>
      </c>
      <c r="M44">
        <f t="shared" si="3"/>
        <v>1.7808279531628599</v>
      </c>
    </row>
    <row r="45" spans="1:13">
      <c r="A45">
        <v>2008</v>
      </c>
      <c r="B45">
        <v>6</v>
      </c>
      <c r="C45">
        <v>13</v>
      </c>
      <c r="D45">
        <v>17</v>
      </c>
      <c r="E45">
        <v>241.57</v>
      </c>
      <c r="F45">
        <v>2</v>
      </c>
      <c r="G45">
        <v>0.42</v>
      </c>
      <c r="H45">
        <v>0</v>
      </c>
      <c r="I45">
        <v>1.25</v>
      </c>
      <c r="J45">
        <v>1.5</v>
      </c>
      <c r="K45">
        <v>1.6</v>
      </c>
      <c r="L45" s="1">
        <f t="shared" si="2"/>
        <v>1.03704912476912</v>
      </c>
      <c r="M45">
        <f t="shared" si="3"/>
        <v>1.6374019283886601</v>
      </c>
    </row>
    <row r="46" spans="1:13">
      <c r="A46">
        <v>2008</v>
      </c>
      <c r="B46">
        <v>6</v>
      </c>
      <c r="C46">
        <v>13</v>
      </c>
      <c r="D46">
        <v>18</v>
      </c>
      <c r="E46">
        <v>218.88</v>
      </c>
      <c r="F46">
        <v>2.5</v>
      </c>
      <c r="G46">
        <v>0</v>
      </c>
      <c r="H46">
        <v>1.5</v>
      </c>
      <c r="I46">
        <v>0</v>
      </c>
      <c r="J46">
        <v>0</v>
      </c>
      <c r="K46">
        <v>2</v>
      </c>
      <c r="L46" s="1">
        <f t="shared" si="2"/>
        <v>1.0750936234388999</v>
      </c>
      <c r="M46">
        <f t="shared" si="3"/>
        <v>1.48360530730517</v>
      </c>
    </row>
    <row r="47" spans="1:13">
      <c r="A47">
        <v>2008</v>
      </c>
      <c r="B47">
        <v>6</v>
      </c>
      <c r="C47">
        <v>13</v>
      </c>
      <c r="D47">
        <v>19</v>
      </c>
      <c r="E47">
        <v>208</v>
      </c>
      <c r="F47">
        <v>9</v>
      </c>
      <c r="G47">
        <v>11</v>
      </c>
      <c r="H47">
        <v>11.5</v>
      </c>
      <c r="I47">
        <v>6</v>
      </c>
      <c r="J47">
        <v>5.5</v>
      </c>
      <c r="K47">
        <v>5.5</v>
      </c>
      <c r="L47" s="1">
        <f t="shared" si="2"/>
        <v>8.9505655062820502</v>
      </c>
      <c r="M47">
        <f t="shared" si="3"/>
        <v>1.40985884466135</v>
      </c>
    </row>
    <row r="48" spans="1:13">
      <c r="A48">
        <v>2008</v>
      </c>
      <c r="B48">
        <v>6</v>
      </c>
      <c r="C48">
        <v>13</v>
      </c>
      <c r="D48">
        <v>20</v>
      </c>
      <c r="E48">
        <v>214</v>
      </c>
      <c r="F48">
        <v>2</v>
      </c>
      <c r="G48">
        <v>4</v>
      </c>
      <c r="H48">
        <v>1</v>
      </c>
      <c r="I48">
        <v>5.5</v>
      </c>
      <c r="J48">
        <v>8</v>
      </c>
      <c r="K48">
        <v>3.5</v>
      </c>
      <c r="L48" s="1">
        <f t="shared" si="2"/>
        <v>3.40076009617467</v>
      </c>
      <c r="M48">
        <f t="shared" si="3"/>
        <v>1.4505278497958101</v>
      </c>
    </row>
    <row r="49" spans="1:13">
      <c r="A49">
        <v>2008</v>
      </c>
      <c r="B49">
        <v>6</v>
      </c>
      <c r="C49">
        <v>13</v>
      </c>
      <c r="D49">
        <v>21</v>
      </c>
      <c r="E49">
        <v>215.54</v>
      </c>
      <c r="F49">
        <v>1</v>
      </c>
      <c r="G49">
        <v>0.5</v>
      </c>
      <c r="H49">
        <v>1</v>
      </c>
      <c r="I49">
        <v>0.5</v>
      </c>
      <c r="J49">
        <v>0</v>
      </c>
      <c r="K49">
        <v>0.5</v>
      </c>
      <c r="L49" s="1">
        <f t="shared" si="2"/>
        <v>0.66737366719573998</v>
      </c>
      <c r="M49">
        <f t="shared" si="3"/>
        <v>1.4609662277803199</v>
      </c>
    </row>
    <row r="50" spans="1:13">
      <c r="A50">
        <v>2008</v>
      </c>
      <c r="B50">
        <v>6</v>
      </c>
      <c r="C50">
        <v>13</v>
      </c>
      <c r="D50">
        <v>22</v>
      </c>
      <c r="E50">
        <v>210</v>
      </c>
      <c r="F50">
        <v>0</v>
      </c>
      <c r="G50">
        <v>0</v>
      </c>
      <c r="H50">
        <v>0</v>
      </c>
      <c r="I50">
        <v>0</v>
      </c>
      <c r="J50">
        <v>0.5</v>
      </c>
      <c r="K50">
        <v>0</v>
      </c>
      <c r="L50" s="1">
        <f t="shared" si="2"/>
        <v>2.4142514737807302E-2</v>
      </c>
      <c r="M50">
        <f t="shared" si="3"/>
        <v>1.42341517970617</v>
      </c>
    </row>
    <row r="51" spans="1:13">
      <c r="A51">
        <v>2008</v>
      </c>
      <c r="B51">
        <v>6</v>
      </c>
      <c r="C51">
        <v>13</v>
      </c>
      <c r="D51">
        <v>23</v>
      </c>
      <c r="E51">
        <v>203.74</v>
      </c>
      <c r="F51">
        <v>0</v>
      </c>
      <c r="G51">
        <v>0</v>
      </c>
      <c r="H51">
        <v>0</v>
      </c>
      <c r="I51">
        <v>0.5</v>
      </c>
      <c r="J51">
        <v>0</v>
      </c>
      <c r="K51">
        <v>0.5</v>
      </c>
      <c r="L51" s="1">
        <f t="shared" si="2"/>
        <v>0.13370970991325901</v>
      </c>
      <c r="M51">
        <f t="shared" si="3"/>
        <v>1.3809838510158801</v>
      </c>
    </row>
    <row r="52" spans="1:13">
      <c r="A52">
        <v>2008</v>
      </c>
      <c r="B52">
        <v>6</v>
      </c>
      <c r="C52">
        <v>14</v>
      </c>
      <c r="D52">
        <v>0</v>
      </c>
      <c r="E52">
        <v>212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1">
        <f t="shared" si="2"/>
        <v>0</v>
      </c>
      <c r="M52">
        <f t="shared" si="3"/>
        <v>1.4369715147509901</v>
      </c>
    </row>
    <row r="53" spans="1:13">
      <c r="A53">
        <v>2008</v>
      </c>
      <c r="B53">
        <v>6</v>
      </c>
      <c r="C53">
        <v>14</v>
      </c>
      <c r="D53">
        <v>1</v>
      </c>
      <c r="E53">
        <v>218.49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1">
        <f t="shared" si="2"/>
        <v>0</v>
      </c>
      <c r="M53">
        <f t="shared" si="3"/>
        <v>1.48096182197143</v>
      </c>
    </row>
    <row r="54" spans="1:13">
      <c r="A54">
        <v>2008</v>
      </c>
      <c r="B54">
        <v>6</v>
      </c>
      <c r="C54">
        <v>14</v>
      </c>
      <c r="D54">
        <v>2</v>
      </c>
      <c r="E54">
        <v>150</v>
      </c>
      <c r="F54">
        <v>0.5</v>
      </c>
      <c r="G54">
        <v>0</v>
      </c>
      <c r="H54">
        <v>0</v>
      </c>
      <c r="I54">
        <v>0</v>
      </c>
      <c r="J54">
        <v>0</v>
      </c>
      <c r="K54">
        <v>0</v>
      </c>
      <c r="L54" s="1">
        <f t="shared" si="2"/>
        <v>0.114033254442995</v>
      </c>
      <c r="M54">
        <f t="shared" si="3"/>
        <v>1.0167251283615499</v>
      </c>
    </row>
    <row r="55" spans="1:13">
      <c r="A55">
        <v>2008</v>
      </c>
      <c r="B55">
        <v>6</v>
      </c>
      <c r="C55">
        <v>14</v>
      </c>
      <c r="D55">
        <v>3</v>
      </c>
      <c r="E55">
        <v>181</v>
      </c>
      <c r="F55">
        <v>0</v>
      </c>
      <c r="G55">
        <v>0</v>
      </c>
      <c r="H55">
        <v>0.33</v>
      </c>
      <c r="I55">
        <v>0</v>
      </c>
      <c r="J55">
        <v>0</v>
      </c>
      <c r="K55">
        <v>0</v>
      </c>
      <c r="L55" s="1">
        <f t="shared" si="2"/>
        <v>5.1138732143764999E-2</v>
      </c>
      <c r="M55">
        <f t="shared" si="3"/>
        <v>1.22684832155627</v>
      </c>
    </row>
    <row r="56" spans="1:13">
      <c r="A56">
        <v>2008</v>
      </c>
      <c r="B56">
        <v>6</v>
      </c>
      <c r="C56">
        <v>14</v>
      </c>
      <c r="D56">
        <v>4</v>
      </c>
      <c r="E56">
        <v>165.07</v>
      </c>
      <c r="F56">
        <v>0</v>
      </c>
      <c r="G56">
        <v>0</v>
      </c>
      <c r="H56">
        <v>0.67</v>
      </c>
      <c r="I56">
        <v>0</v>
      </c>
      <c r="J56">
        <v>0</v>
      </c>
      <c r="K56">
        <v>0</v>
      </c>
      <c r="L56" s="1">
        <f t="shared" si="2"/>
        <v>0.103827122837341</v>
      </c>
      <c r="M56">
        <f t="shared" si="3"/>
        <v>1.11887211292427</v>
      </c>
    </row>
    <row r="57" spans="1:13">
      <c r="A57">
        <v>2008</v>
      </c>
      <c r="B57">
        <v>6</v>
      </c>
      <c r="C57">
        <v>14</v>
      </c>
      <c r="D57">
        <v>5</v>
      </c>
      <c r="E57">
        <v>163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1">
        <f t="shared" si="2"/>
        <v>0</v>
      </c>
      <c r="M57">
        <f t="shared" si="3"/>
        <v>1.1048413061528799</v>
      </c>
    </row>
    <row r="58" spans="1:13">
      <c r="A58">
        <v>2008</v>
      </c>
      <c r="B58">
        <v>6</v>
      </c>
      <c r="C58">
        <v>14</v>
      </c>
      <c r="D58">
        <v>6</v>
      </c>
      <c r="E58">
        <v>156.78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1">
        <f t="shared" si="2"/>
        <v>0</v>
      </c>
      <c r="M58">
        <f t="shared" si="3"/>
        <v>1.06268110416349</v>
      </c>
    </row>
    <row r="59" spans="1:13">
      <c r="A59">
        <v>2008</v>
      </c>
      <c r="B59">
        <v>6</v>
      </c>
      <c r="C59">
        <v>14</v>
      </c>
      <c r="D59">
        <v>7</v>
      </c>
      <c r="E59">
        <v>149.15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1">
        <f t="shared" si="2"/>
        <v>0</v>
      </c>
      <c r="M59">
        <f t="shared" si="3"/>
        <v>1.0109636859675</v>
      </c>
    </row>
    <row r="60" spans="1:13">
      <c r="A60">
        <v>2008</v>
      </c>
      <c r="B60">
        <v>6</v>
      </c>
      <c r="C60">
        <v>14</v>
      </c>
      <c r="D60">
        <v>8</v>
      </c>
      <c r="E60">
        <v>148</v>
      </c>
      <c r="F60">
        <v>0</v>
      </c>
      <c r="G60">
        <v>0</v>
      </c>
      <c r="H60">
        <v>0.5</v>
      </c>
      <c r="I60">
        <v>0</v>
      </c>
      <c r="J60">
        <v>0</v>
      </c>
      <c r="K60">
        <v>1</v>
      </c>
      <c r="L60" s="1">
        <f t="shared" si="2"/>
        <v>0.21372221186668899</v>
      </c>
      <c r="M60">
        <f t="shared" si="3"/>
        <v>1.0031687933167299</v>
      </c>
    </row>
    <row r="61" spans="1:13">
      <c r="A61">
        <v>2008</v>
      </c>
      <c r="B61">
        <v>6</v>
      </c>
      <c r="C61">
        <v>14</v>
      </c>
      <c r="D61">
        <v>9</v>
      </c>
      <c r="E61">
        <v>148.94999999999999</v>
      </c>
      <c r="F61">
        <v>0.5</v>
      </c>
      <c r="G61">
        <v>0</v>
      </c>
      <c r="H61">
        <v>0.62</v>
      </c>
      <c r="I61">
        <v>0</v>
      </c>
      <c r="J61">
        <v>0.33</v>
      </c>
      <c r="K61">
        <v>0</v>
      </c>
      <c r="L61" s="1">
        <f t="shared" si="2"/>
        <v>0.22604614425823299</v>
      </c>
      <c r="M61">
        <f t="shared" si="3"/>
        <v>1.00960805246302</v>
      </c>
    </row>
    <row r="62" spans="1:13">
      <c r="A62">
        <v>2008</v>
      </c>
      <c r="B62">
        <v>6</v>
      </c>
      <c r="C62">
        <v>14</v>
      </c>
      <c r="D62">
        <v>10</v>
      </c>
      <c r="E62">
        <v>127.61</v>
      </c>
      <c r="F62">
        <v>1</v>
      </c>
      <c r="G62">
        <v>1</v>
      </c>
      <c r="H62">
        <v>1</v>
      </c>
      <c r="I62">
        <v>0.67</v>
      </c>
      <c r="J62">
        <v>0.67</v>
      </c>
      <c r="K62">
        <v>0</v>
      </c>
      <c r="L62" s="1">
        <f t="shared" si="2"/>
        <v>0.80453721119828603</v>
      </c>
      <c r="M62">
        <f t="shared" si="3"/>
        <v>0.86496195753478</v>
      </c>
    </row>
    <row r="63" spans="1:13">
      <c r="A63">
        <v>2008</v>
      </c>
      <c r="B63">
        <v>6</v>
      </c>
      <c r="C63">
        <v>14</v>
      </c>
      <c r="D63">
        <v>11</v>
      </c>
      <c r="E63">
        <v>144</v>
      </c>
      <c r="F63">
        <v>1.5</v>
      </c>
      <c r="G63">
        <v>5</v>
      </c>
      <c r="H63">
        <v>1.38</v>
      </c>
      <c r="I63">
        <v>1.33</v>
      </c>
      <c r="J63">
        <v>0</v>
      </c>
      <c r="K63">
        <v>0.83</v>
      </c>
      <c r="L63" s="1">
        <f t="shared" si="2"/>
        <v>2.3498167635379801</v>
      </c>
      <c r="M63">
        <f t="shared" si="3"/>
        <v>0.97605612322708601</v>
      </c>
    </row>
    <row r="64" spans="1:13">
      <c r="A64">
        <v>2008</v>
      </c>
      <c r="B64">
        <v>6</v>
      </c>
      <c r="C64">
        <v>14</v>
      </c>
      <c r="D64">
        <v>12</v>
      </c>
      <c r="E64">
        <v>145.28</v>
      </c>
      <c r="F64">
        <v>4</v>
      </c>
      <c r="G64">
        <v>5.5</v>
      </c>
      <c r="H64">
        <v>5.5</v>
      </c>
      <c r="I64">
        <v>10</v>
      </c>
      <c r="J64">
        <v>4.5</v>
      </c>
      <c r="K64">
        <v>1.67</v>
      </c>
      <c r="L64" s="1">
        <f t="shared" si="2"/>
        <v>5.1781293575615202</v>
      </c>
      <c r="M64">
        <f t="shared" si="3"/>
        <v>0.98473217765577103</v>
      </c>
    </row>
    <row r="65" spans="1:13">
      <c r="A65">
        <v>2008</v>
      </c>
      <c r="B65">
        <v>6</v>
      </c>
      <c r="C65">
        <v>14</v>
      </c>
      <c r="D65">
        <v>13</v>
      </c>
      <c r="E65">
        <v>144.71</v>
      </c>
      <c r="F65">
        <v>0</v>
      </c>
      <c r="G65">
        <v>4.5</v>
      </c>
      <c r="H65">
        <v>7.5</v>
      </c>
      <c r="I65">
        <v>4.5</v>
      </c>
      <c r="J65">
        <v>8</v>
      </c>
      <c r="K65">
        <v>5.5</v>
      </c>
      <c r="L65" s="1">
        <f t="shared" si="2"/>
        <v>4.2438351624971604</v>
      </c>
      <c r="M65">
        <f t="shared" si="3"/>
        <v>0.98086862216799697</v>
      </c>
    </row>
    <row r="66" spans="1:13">
      <c r="A66">
        <v>2008</v>
      </c>
      <c r="B66">
        <v>6</v>
      </c>
      <c r="C66">
        <v>14</v>
      </c>
      <c r="D66">
        <v>14</v>
      </c>
      <c r="E66">
        <v>145.69</v>
      </c>
      <c r="F66">
        <v>0.5</v>
      </c>
      <c r="G66">
        <v>1.5</v>
      </c>
      <c r="H66">
        <v>1</v>
      </c>
      <c r="I66">
        <v>8</v>
      </c>
      <c r="J66">
        <v>1</v>
      </c>
      <c r="K66">
        <v>0.5</v>
      </c>
      <c r="L66" s="1">
        <f t="shared" si="2"/>
        <v>1.88673964493699</v>
      </c>
      <c r="M66">
        <f t="shared" si="3"/>
        <v>0.98751122633995903</v>
      </c>
    </row>
    <row r="67" spans="1:13">
      <c r="A67">
        <v>2008</v>
      </c>
      <c r="B67">
        <v>6</v>
      </c>
      <c r="C67">
        <v>14</v>
      </c>
      <c r="D67">
        <v>15</v>
      </c>
      <c r="E67">
        <v>162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1">
        <f t="shared" si="2"/>
        <v>0</v>
      </c>
      <c r="M67">
        <f t="shared" si="3"/>
        <v>1.09806313863047</v>
      </c>
    </row>
    <row r="68" spans="1:13">
      <c r="A68">
        <v>2008</v>
      </c>
      <c r="B68">
        <v>6</v>
      </c>
      <c r="C68">
        <v>14</v>
      </c>
      <c r="D68">
        <v>16</v>
      </c>
      <c r="E68">
        <v>170.45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 s="1">
        <f t="shared" si="2"/>
        <v>0.136239284376136</v>
      </c>
      <c r="M68">
        <f t="shared" si="3"/>
        <v>1.1553386541948401</v>
      </c>
    </row>
    <row r="69" spans="1:13">
      <c r="A69">
        <v>2008</v>
      </c>
      <c r="B69">
        <v>6</v>
      </c>
      <c r="C69">
        <v>14</v>
      </c>
      <c r="D69">
        <v>17</v>
      </c>
      <c r="E69">
        <v>169.45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f t="shared" ref="L69:L100" si="4">F69*$F$2+G69*$G$2+H69*$H$2+I69*$I$2+J69*$J$2+K69*$K$2</f>
        <v>0</v>
      </c>
      <c r="M69">
        <f t="shared" ref="M69:M100" si="5">E69*3600/(1000*$L$1)</f>
        <v>1.1485604866724299</v>
      </c>
    </row>
    <row r="70" spans="1:13">
      <c r="A70">
        <v>2008</v>
      </c>
      <c r="B70">
        <v>6</v>
      </c>
      <c r="C70">
        <v>14</v>
      </c>
      <c r="D70">
        <v>18</v>
      </c>
      <c r="E70">
        <v>163</v>
      </c>
      <c r="F70">
        <v>13</v>
      </c>
      <c r="G70">
        <v>0</v>
      </c>
      <c r="H70">
        <v>0</v>
      </c>
      <c r="I70">
        <v>5</v>
      </c>
      <c r="J70">
        <v>0</v>
      </c>
      <c r="K70">
        <v>0</v>
      </c>
      <c r="L70" s="1">
        <f t="shared" si="4"/>
        <v>3.62076529276976</v>
      </c>
      <c r="M70">
        <f t="shared" si="5"/>
        <v>1.1048413061528799</v>
      </c>
    </row>
    <row r="71" spans="1:13">
      <c r="A71">
        <v>2008</v>
      </c>
      <c r="B71">
        <v>6</v>
      </c>
      <c r="C71">
        <v>14</v>
      </c>
      <c r="D71">
        <v>19</v>
      </c>
      <c r="E71">
        <v>155.25</v>
      </c>
      <c r="F71">
        <v>0.5</v>
      </c>
      <c r="G71">
        <v>0.5</v>
      </c>
      <c r="H71">
        <v>0</v>
      </c>
      <c r="I71">
        <v>3.5</v>
      </c>
      <c r="J71">
        <v>0.5</v>
      </c>
      <c r="K71">
        <v>0.5</v>
      </c>
      <c r="L71" s="1">
        <f t="shared" si="4"/>
        <v>0.81605747886058999</v>
      </c>
      <c r="M71">
        <f t="shared" si="5"/>
        <v>1.0523105078542001</v>
      </c>
    </row>
    <row r="72" spans="1:13">
      <c r="A72">
        <v>2008</v>
      </c>
      <c r="B72">
        <v>6</v>
      </c>
      <c r="C72">
        <v>14</v>
      </c>
      <c r="D72">
        <v>20</v>
      </c>
      <c r="E72">
        <v>151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1">
        <f t="shared" si="4"/>
        <v>0</v>
      </c>
      <c r="M72">
        <f t="shared" si="5"/>
        <v>1.0235032958839601</v>
      </c>
    </row>
    <row r="73" spans="1:13">
      <c r="A73">
        <v>2008</v>
      </c>
      <c r="B73">
        <v>6</v>
      </c>
      <c r="C73">
        <v>14</v>
      </c>
      <c r="D73">
        <v>21</v>
      </c>
      <c r="E73">
        <v>153.05000000000001</v>
      </c>
      <c r="F73">
        <v>0</v>
      </c>
      <c r="G73">
        <v>0.5</v>
      </c>
      <c r="H73">
        <v>0</v>
      </c>
      <c r="I73">
        <v>0.5</v>
      </c>
      <c r="J73">
        <v>0</v>
      </c>
      <c r="K73">
        <v>0</v>
      </c>
      <c r="L73" s="1">
        <f t="shared" si="4"/>
        <v>0.216221661140578</v>
      </c>
      <c r="M73">
        <f t="shared" si="5"/>
        <v>1.0373985393048999</v>
      </c>
    </row>
    <row r="74" spans="1:13">
      <c r="A74">
        <v>2008</v>
      </c>
      <c r="B74">
        <v>6</v>
      </c>
      <c r="C74">
        <v>14</v>
      </c>
      <c r="D74">
        <v>22</v>
      </c>
      <c r="E74">
        <v>155.43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1">
        <f t="shared" si="4"/>
        <v>0</v>
      </c>
      <c r="M74">
        <f t="shared" si="5"/>
        <v>1.05353057800824</v>
      </c>
    </row>
    <row r="75" spans="1:13">
      <c r="A75">
        <v>2008</v>
      </c>
      <c r="B75">
        <v>6</v>
      </c>
      <c r="C75">
        <v>14</v>
      </c>
      <c r="D75">
        <v>23</v>
      </c>
      <c r="E75">
        <v>150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1">
        <f t="shared" si="4"/>
        <v>0</v>
      </c>
      <c r="M75">
        <f t="shared" si="5"/>
        <v>1.0167251283615499</v>
      </c>
    </row>
    <row r="76" spans="1:13">
      <c r="A76">
        <v>2008</v>
      </c>
      <c r="B76">
        <v>6</v>
      </c>
      <c r="C76">
        <v>15</v>
      </c>
      <c r="D76">
        <v>0</v>
      </c>
      <c r="E76">
        <v>145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1">
        <f t="shared" si="4"/>
        <v>0</v>
      </c>
      <c r="M76">
        <f t="shared" si="5"/>
        <v>0.98283429074949602</v>
      </c>
    </row>
    <row r="77" spans="1:13">
      <c r="A77">
        <v>2008</v>
      </c>
      <c r="B77">
        <v>6</v>
      </c>
      <c r="C77">
        <v>15</v>
      </c>
      <c r="D77">
        <v>1</v>
      </c>
      <c r="E77">
        <v>191.21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1">
        <f t="shared" si="4"/>
        <v>0</v>
      </c>
      <c r="M77">
        <f t="shared" si="5"/>
        <v>1.2960534119600799</v>
      </c>
    </row>
    <row r="78" spans="1:13">
      <c r="A78">
        <v>2008</v>
      </c>
      <c r="B78">
        <v>6</v>
      </c>
      <c r="C78">
        <v>15</v>
      </c>
      <c r="D78">
        <v>2</v>
      </c>
      <c r="E78">
        <v>263.76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f t="shared" si="4"/>
        <v>0</v>
      </c>
      <c r="M78">
        <f t="shared" si="5"/>
        <v>1.78780946571095</v>
      </c>
    </row>
    <row r="79" spans="1:13">
      <c r="A79">
        <v>2008</v>
      </c>
      <c r="B79">
        <v>6</v>
      </c>
      <c r="C79">
        <v>15</v>
      </c>
      <c r="D79">
        <v>3</v>
      </c>
      <c r="E79">
        <v>314.76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1">
        <f t="shared" si="4"/>
        <v>0</v>
      </c>
      <c r="M79">
        <f t="shared" si="5"/>
        <v>2.1334960093538702</v>
      </c>
    </row>
    <row r="80" spans="1:13">
      <c r="A80">
        <v>2008</v>
      </c>
      <c r="B80">
        <v>6</v>
      </c>
      <c r="C80">
        <v>15</v>
      </c>
      <c r="D80">
        <v>4</v>
      </c>
      <c r="E80">
        <v>296.33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1">
        <f t="shared" si="4"/>
        <v>0</v>
      </c>
      <c r="M80">
        <f t="shared" si="5"/>
        <v>2.0085743819158499</v>
      </c>
    </row>
    <row r="81" spans="1:13">
      <c r="A81">
        <v>2008</v>
      </c>
      <c r="B81">
        <v>6</v>
      </c>
      <c r="C81">
        <v>15</v>
      </c>
      <c r="D81">
        <v>5</v>
      </c>
      <c r="E81">
        <v>160.59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1">
        <f t="shared" si="4"/>
        <v>0</v>
      </c>
      <c r="M81">
        <f t="shared" si="5"/>
        <v>1.08850592242387</v>
      </c>
    </row>
    <row r="82" spans="1:13">
      <c r="A82">
        <v>2008</v>
      </c>
      <c r="B82">
        <v>6</v>
      </c>
      <c r="C82">
        <v>15</v>
      </c>
      <c r="D82">
        <v>6</v>
      </c>
      <c r="E82">
        <v>90.59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1">
        <f t="shared" si="4"/>
        <v>0</v>
      </c>
      <c r="M82">
        <f t="shared" si="5"/>
        <v>0.61403419585515095</v>
      </c>
    </row>
    <row r="83" spans="1:13">
      <c r="A83">
        <v>2008</v>
      </c>
      <c r="B83">
        <v>6</v>
      </c>
      <c r="C83">
        <v>15</v>
      </c>
      <c r="D83">
        <v>7</v>
      </c>
      <c r="E83">
        <v>118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1">
        <f t="shared" si="4"/>
        <v>0</v>
      </c>
      <c r="M83">
        <f t="shared" si="5"/>
        <v>0.79982376764441698</v>
      </c>
    </row>
    <row r="84" spans="1:13">
      <c r="A84">
        <v>2008</v>
      </c>
      <c r="B84">
        <v>6</v>
      </c>
      <c r="C84">
        <v>15</v>
      </c>
      <c r="D84">
        <v>8</v>
      </c>
      <c r="E84">
        <v>67.2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1">
        <f t="shared" si="4"/>
        <v>0</v>
      </c>
      <c r="M84">
        <f t="shared" si="5"/>
        <v>0.45549285750597301</v>
      </c>
    </row>
    <row r="85" spans="1:13">
      <c r="A85">
        <v>2008</v>
      </c>
      <c r="B85">
        <v>6</v>
      </c>
      <c r="C85">
        <v>15</v>
      </c>
      <c r="D85">
        <v>9</v>
      </c>
      <c r="E85">
        <v>46.5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 s="1">
        <f t="shared" si="4"/>
        <v>0.22806650888598901</v>
      </c>
      <c r="M85">
        <f t="shared" si="5"/>
        <v>0.31518478979207998</v>
      </c>
    </row>
    <row r="86" spans="1:13">
      <c r="A86">
        <v>2008</v>
      </c>
      <c r="B86">
        <v>6</v>
      </c>
      <c r="C86">
        <v>15</v>
      </c>
      <c r="D86">
        <v>10</v>
      </c>
      <c r="E86">
        <v>56.81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1">
        <f t="shared" si="4"/>
        <v>0</v>
      </c>
      <c r="M86">
        <f t="shared" si="5"/>
        <v>0.38506769694812998</v>
      </c>
    </row>
    <row r="87" spans="1:13">
      <c r="A87">
        <v>2008</v>
      </c>
      <c r="B87">
        <v>6</v>
      </c>
      <c r="C87">
        <v>15</v>
      </c>
      <c r="D87">
        <v>11</v>
      </c>
      <c r="E87">
        <v>107.46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1">
        <f t="shared" si="4"/>
        <v>0</v>
      </c>
      <c r="M87">
        <f t="shared" si="5"/>
        <v>0.72838188195821296</v>
      </c>
    </row>
    <row r="88" spans="1:13">
      <c r="A88">
        <v>2008</v>
      </c>
      <c r="B88">
        <v>6</v>
      </c>
      <c r="C88">
        <v>15</v>
      </c>
      <c r="D88">
        <v>12</v>
      </c>
      <c r="E88">
        <v>86.2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1">
        <f t="shared" si="4"/>
        <v>0</v>
      </c>
      <c r="M88">
        <f t="shared" si="5"/>
        <v>0.58427804043176901</v>
      </c>
    </row>
    <row r="89" spans="1:13">
      <c r="A89">
        <v>2008</v>
      </c>
      <c r="B89">
        <v>6</v>
      </c>
      <c r="C89">
        <v>15</v>
      </c>
      <c r="D89">
        <v>13</v>
      </c>
      <c r="E89">
        <v>75.2</v>
      </c>
      <c r="F89">
        <v>1.5</v>
      </c>
      <c r="G89">
        <v>2</v>
      </c>
      <c r="H89">
        <v>0</v>
      </c>
      <c r="I89">
        <v>6</v>
      </c>
      <c r="J89">
        <v>0</v>
      </c>
      <c r="K89">
        <v>1</v>
      </c>
      <c r="L89" s="1">
        <f t="shared" si="4"/>
        <v>1.8679462340689501</v>
      </c>
      <c r="M89">
        <f t="shared" si="5"/>
        <v>0.50971819768525595</v>
      </c>
    </row>
    <row r="90" spans="1:13">
      <c r="A90">
        <v>2008</v>
      </c>
      <c r="B90">
        <v>6</v>
      </c>
      <c r="C90">
        <v>15</v>
      </c>
      <c r="D90">
        <v>14</v>
      </c>
      <c r="E90">
        <v>168</v>
      </c>
      <c r="F90">
        <v>0</v>
      </c>
      <c r="G90">
        <v>0</v>
      </c>
      <c r="H90">
        <v>0</v>
      </c>
      <c r="I90">
        <v>0.5</v>
      </c>
      <c r="J90">
        <v>0.5</v>
      </c>
      <c r="K90">
        <v>3.5</v>
      </c>
      <c r="L90" s="1">
        <f t="shared" si="4"/>
        <v>0.56657007777947399</v>
      </c>
      <c r="M90">
        <f t="shared" si="5"/>
        <v>1.13873214376493</v>
      </c>
    </row>
    <row r="91" spans="1:13">
      <c r="A91">
        <v>2008</v>
      </c>
      <c r="B91">
        <v>6</v>
      </c>
      <c r="C91">
        <v>15</v>
      </c>
      <c r="D91">
        <v>15</v>
      </c>
      <c r="E91">
        <v>110.52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f t="shared" si="4"/>
        <v>0</v>
      </c>
      <c r="M91">
        <f t="shared" si="5"/>
        <v>0.74912307457678795</v>
      </c>
    </row>
    <row r="92" spans="1:13">
      <c r="A92">
        <v>2008</v>
      </c>
      <c r="B92">
        <v>6</v>
      </c>
      <c r="C92">
        <v>15</v>
      </c>
      <c r="D92">
        <v>16</v>
      </c>
      <c r="E92">
        <v>55.88</v>
      </c>
      <c r="F92">
        <v>1</v>
      </c>
      <c r="G92">
        <v>1</v>
      </c>
      <c r="H92">
        <v>19</v>
      </c>
      <c r="I92">
        <v>0</v>
      </c>
      <c r="J92">
        <v>0</v>
      </c>
      <c r="K92">
        <v>0</v>
      </c>
      <c r="L92" s="1">
        <f t="shared" si="4"/>
        <v>3.47368094035778</v>
      </c>
      <c r="M92">
        <f t="shared" si="5"/>
        <v>0.37876400115228798</v>
      </c>
    </row>
    <row r="93" spans="1:13">
      <c r="A93">
        <v>2008</v>
      </c>
      <c r="B93">
        <v>6</v>
      </c>
      <c r="C93">
        <v>15</v>
      </c>
      <c r="D93">
        <v>17</v>
      </c>
      <c r="E93">
        <v>117</v>
      </c>
      <c r="F93">
        <v>3</v>
      </c>
      <c r="G93">
        <v>44</v>
      </c>
      <c r="H93">
        <v>4</v>
      </c>
      <c r="I93">
        <v>0</v>
      </c>
      <c r="J93">
        <v>1</v>
      </c>
      <c r="K93">
        <v>0</v>
      </c>
      <c r="L93" s="1">
        <f t="shared" si="4"/>
        <v>14.6079281966121</v>
      </c>
      <c r="M93">
        <f t="shared" si="5"/>
        <v>0.79304560012200698</v>
      </c>
    </row>
    <row r="94" spans="1:13">
      <c r="A94">
        <v>2008</v>
      </c>
      <c r="B94">
        <v>6</v>
      </c>
      <c r="C94">
        <v>15</v>
      </c>
      <c r="D94">
        <v>18</v>
      </c>
      <c r="E94">
        <v>172</v>
      </c>
      <c r="F94">
        <v>0</v>
      </c>
      <c r="G94">
        <v>19</v>
      </c>
      <c r="H94">
        <v>0.83</v>
      </c>
      <c r="I94">
        <v>0</v>
      </c>
      <c r="J94">
        <v>19.5</v>
      </c>
      <c r="K94">
        <v>0</v>
      </c>
      <c r="L94" s="1">
        <f t="shared" si="4"/>
        <v>6.7941802841935104</v>
      </c>
      <c r="M94">
        <f t="shared" si="5"/>
        <v>1.1658448138545701</v>
      </c>
    </row>
    <row r="95" spans="1:13">
      <c r="A95">
        <v>2008</v>
      </c>
      <c r="B95">
        <v>6</v>
      </c>
      <c r="C95">
        <v>15</v>
      </c>
      <c r="D95">
        <v>19</v>
      </c>
      <c r="E95">
        <v>138.49</v>
      </c>
      <c r="F95">
        <v>1.5</v>
      </c>
      <c r="G95">
        <v>2.0299999999999998</v>
      </c>
      <c r="H95">
        <v>0.67</v>
      </c>
      <c r="I95">
        <v>0</v>
      </c>
      <c r="J95">
        <v>17</v>
      </c>
      <c r="K95">
        <v>5.5</v>
      </c>
      <c r="L95" s="1">
        <f t="shared" si="4"/>
        <v>2.62765272058699</v>
      </c>
      <c r="M95">
        <f t="shared" si="5"/>
        <v>0.93870842017860501</v>
      </c>
    </row>
    <row r="96" spans="1:13">
      <c r="A96">
        <v>2008</v>
      </c>
      <c r="B96">
        <v>6</v>
      </c>
      <c r="C96">
        <v>15</v>
      </c>
      <c r="D96">
        <v>20</v>
      </c>
      <c r="E96">
        <v>107.13</v>
      </c>
      <c r="F96">
        <v>3</v>
      </c>
      <c r="G96">
        <v>0.47</v>
      </c>
      <c r="H96">
        <v>0.5</v>
      </c>
      <c r="I96">
        <v>0</v>
      </c>
      <c r="J96">
        <v>0</v>
      </c>
      <c r="K96">
        <v>14</v>
      </c>
      <c r="L96" s="1">
        <f t="shared" si="4"/>
        <v>2.8106261332248899</v>
      </c>
      <c r="M96">
        <f t="shared" si="5"/>
        <v>0.72614508667581701</v>
      </c>
    </row>
    <row r="97" spans="1:13">
      <c r="A97">
        <v>2008</v>
      </c>
      <c r="B97">
        <v>6</v>
      </c>
      <c r="C97">
        <v>15</v>
      </c>
      <c r="D97">
        <v>21</v>
      </c>
      <c r="E97">
        <v>196</v>
      </c>
      <c r="F97">
        <v>0.68</v>
      </c>
      <c r="G97">
        <v>1.5</v>
      </c>
      <c r="H97">
        <v>0</v>
      </c>
      <c r="I97">
        <v>0</v>
      </c>
      <c r="J97">
        <v>0.5</v>
      </c>
      <c r="K97">
        <v>0</v>
      </c>
      <c r="L97" s="1">
        <f t="shared" si="4"/>
        <v>0.63112252102644095</v>
      </c>
      <c r="M97">
        <f t="shared" si="5"/>
        <v>1.32852083439242</v>
      </c>
    </row>
    <row r="98" spans="1:13">
      <c r="A98">
        <v>2008</v>
      </c>
      <c r="B98">
        <v>6</v>
      </c>
      <c r="C98">
        <v>15</v>
      </c>
      <c r="D98">
        <v>22</v>
      </c>
      <c r="E98">
        <v>387.33</v>
      </c>
      <c r="F98">
        <v>0.83</v>
      </c>
      <c r="G98">
        <v>3</v>
      </c>
      <c r="H98">
        <v>0</v>
      </c>
      <c r="I98">
        <v>0.5</v>
      </c>
      <c r="J98">
        <v>8</v>
      </c>
      <c r="K98">
        <v>6</v>
      </c>
      <c r="L98" s="1">
        <f t="shared" si="4"/>
        <v>2.3623907726546198</v>
      </c>
      <c r="M98">
        <f t="shared" si="5"/>
        <v>2.6253876264551899</v>
      </c>
    </row>
    <row r="99" spans="1:13">
      <c r="A99">
        <v>2008</v>
      </c>
      <c r="B99">
        <v>6</v>
      </c>
      <c r="C99">
        <v>15</v>
      </c>
      <c r="D99">
        <v>23</v>
      </c>
      <c r="E99">
        <v>310</v>
      </c>
      <c r="F99">
        <v>0.97</v>
      </c>
      <c r="G99">
        <v>0.5</v>
      </c>
      <c r="H99">
        <v>17.5</v>
      </c>
      <c r="I99">
        <v>8</v>
      </c>
      <c r="J99">
        <v>23.5</v>
      </c>
      <c r="K99">
        <v>20</v>
      </c>
      <c r="L99" s="1">
        <f t="shared" si="4"/>
        <v>7.9926835330068604</v>
      </c>
      <c r="M99">
        <f t="shared" si="5"/>
        <v>2.1012319319472001</v>
      </c>
    </row>
    <row r="100" spans="1:13">
      <c r="A100">
        <v>2008</v>
      </c>
      <c r="B100">
        <v>6</v>
      </c>
      <c r="C100">
        <v>16</v>
      </c>
      <c r="D100">
        <v>0</v>
      </c>
      <c r="E100">
        <v>261</v>
      </c>
      <c r="F100">
        <v>1.1200000000000001</v>
      </c>
      <c r="G100">
        <v>7.0000000000000007E-2</v>
      </c>
      <c r="H100">
        <v>3.5</v>
      </c>
      <c r="I100">
        <v>1.54</v>
      </c>
      <c r="J100">
        <v>30</v>
      </c>
      <c r="K100">
        <v>6</v>
      </c>
      <c r="L100" s="1">
        <f t="shared" si="4"/>
        <v>3.2869074045831699</v>
      </c>
      <c r="M100">
        <f t="shared" si="5"/>
        <v>1.76910172334909</v>
      </c>
    </row>
    <row r="101" spans="1:13">
      <c r="A101">
        <v>2008</v>
      </c>
      <c r="B101">
        <v>6</v>
      </c>
      <c r="C101">
        <v>16</v>
      </c>
      <c r="D101">
        <v>1</v>
      </c>
      <c r="E101">
        <v>222</v>
      </c>
      <c r="F101">
        <v>1.26</v>
      </c>
      <c r="G101">
        <v>0.2</v>
      </c>
      <c r="H101">
        <v>0</v>
      </c>
      <c r="I101">
        <v>1.52</v>
      </c>
      <c r="J101">
        <v>18.5</v>
      </c>
      <c r="K101">
        <v>4</v>
      </c>
      <c r="L101" s="1">
        <f t="shared" ref="L101:L132" si="6">F101*$F$2+G101*$G$2+H101*$H$2+I101*$I$2+J101*$J$2+K101*$K$2</f>
        <v>1.98524042725049</v>
      </c>
      <c r="M101">
        <f t="shared" ref="M101:M132" si="7">E101*3600/(1000*$L$1)</f>
        <v>1.5047531899750901</v>
      </c>
    </row>
    <row r="102" spans="1:13">
      <c r="A102">
        <v>2008</v>
      </c>
      <c r="B102">
        <v>6</v>
      </c>
      <c r="C102">
        <v>16</v>
      </c>
      <c r="D102">
        <v>2</v>
      </c>
      <c r="E102">
        <v>244.27</v>
      </c>
      <c r="F102">
        <v>1.4</v>
      </c>
      <c r="G102">
        <v>0.4</v>
      </c>
      <c r="H102">
        <v>0</v>
      </c>
      <c r="I102">
        <v>1.5</v>
      </c>
      <c r="J102">
        <v>3</v>
      </c>
      <c r="K102">
        <v>0.88</v>
      </c>
      <c r="L102" s="1">
        <f t="shared" si="6"/>
        <v>0.90131424902610902</v>
      </c>
      <c r="M102">
        <f t="shared" si="7"/>
        <v>1.6557029806991701</v>
      </c>
    </row>
    <row r="103" spans="1:13">
      <c r="A103">
        <v>2008</v>
      </c>
      <c r="B103">
        <v>6</v>
      </c>
      <c r="C103">
        <v>16</v>
      </c>
      <c r="D103">
        <v>3</v>
      </c>
      <c r="E103">
        <v>267.58999999999997</v>
      </c>
      <c r="F103">
        <v>1.55</v>
      </c>
      <c r="G103">
        <v>0.6</v>
      </c>
      <c r="H103">
        <v>0</v>
      </c>
      <c r="I103">
        <v>1.48</v>
      </c>
      <c r="J103">
        <v>1.31</v>
      </c>
      <c r="K103">
        <v>0.96</v>
      </c>
      <c r="L103" s="1">
        <f t="shared" si="6"/>
        <v>0.92245070295245701</v>
      </c>
      <c r="M103">
        <f t="shared" si="7"/>
        <v>1.81376984732178</v>
      </c>
    </row>
    <row r="104" spans="1:13">
      <c r="A104">
        <v>2008</v>
      </c>
      <c r="B104">
        <v>6</v>
      </c>
      <c r="C104">
        <v>16</v>
      </c>
      <c r="D104">
        <v>4</v>
      </c>
      <c r="E104">
        <v>185</v>
      </c>
      <c r="F104">
        <v>1.69</v>
      </c>
      <c r="G104">
        <v>0.47</v>
      </c>
      <c r="H104">
        <v>0</v>
      </c>
      <c r="I104">
        <v>1.46</v>
      </c>
      <c r="J104">
        <v>1.19</v>
      </c>
      <c r="K104">
        <v>1.04</v>
      </c>
      <c r="L104" s="1">
        <f t="shared" si="6"/>
        <v>0.91769713641250406</v>
      </c>
      <c r="M104">
        <f t="shared" si="7"/>
        <v>1.25396099164591</v>
      </c>
    </row>
    <row r="105" spans="1:13">
      <c r="A105">
        <v>2008</v>
      </c>
      <c r="B105">
        <v>6</v>
      </c>
      <c r="C105">
        <v>16</v>
      </c>
      <c r="D105">
        <v>5</v>
      </c>
      <c r="E105">
        <v>213.62</v>
      </c>
      <c r="F105">
        <v>0</v>
      </c>
      <c r="G105">
        <v>0</v>
      </c>
      <c r="H105">
        <v>0.5</v>
      </c>
      <c r="I105">
        <v>0</v>
      </c>
      <c r="J105">
        <v>0</v>
      </c>
      <c r="K105">
        <v>1.1200000000000001</v>
      </c>
      <c r="L105" s="1">
        <f t="shared" si="6"/>
        <v>0.23007092599182499</v>
      </c>
      <c r="M105">
        <f t="shared" si="7"/>
        <v>1.44795214613729</v>
      </c>
    </row>
    <row r="106" spans="1:13">
      <c r="A106">
        <v>2008</v>
      </c>
      <c r="B106">
        <v>6</v>
      </c>
      <c r="C106">
        <v>16</v>
      </c>
      <c r="D106">
        <v>6</v>
      </c>
      <c r="E106">
        <v>217.12</v>
      </c>
      <c r="F106">
        <v>0.5</v>
      </c>
      <c r="G106">
        <v>0</v>
      </c>
      <c r="H106">
        <v>0</v>
      </c>
      <c r="I106">
        <v>0</v>
      </c>
      <c r="J106">
        <v>0</v>
      </c>
      <c r="K106">
        <v>1.21</v>
      </c>
      <c r="L106" s="1">
        <f t="shared" si="6"/>
        <v>0.27888278853811899</v>
      </c>
      <c r="M106">
        <f t="shared" si="7"/>
        <v>1.4716757324657299</v>
      </c>
    </row>
    <row r="107" spans="1:13">
      <c r="A107">
        <v>2008</v>
      </c>
      <c r="B107">
        <v>6</v>
      </c>
      <c r="C107">
        <v>16</v>
      </c>
      <c r="D107">
        <v>7</v>
      </c>
      <c r="E107">
        <v>175.53</v>
      </c>
      <c r="F107">
        <v>1</v>
      </c>
      <c r="G107">
        <v>0</v>
      </c>
      <c r="H107">
        <v>0</v>
      </c>
      <c r="I107">
        <v>0.5</v>
      </c>
      <c r="J107">
        <v>0.5</v>
      </c>
      <c r="K107">
        <v>1.29</v>
      </c>
      <c r="L107" s="1">
        <f t="shared" si="6"/>
        <v>0.49354776819420199</v>
      </c>
      <c r="M107">
        <f t="shared" si="7"/>
        <v>1.18977174520868</v>
      </c>
    </row>
    <row r="108" spans="1:13">
      <c r="A108">
        <v>2008</v>
      </c>
      <c r="B108">
        <v>6</v>
      </c>
      <c r="C108">
        <v>16</v>
      </c>
      <c r="D108">
        <v>8</v>
      </c>
      <c r="E108">
        <v>146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1">
        <f t="shared" si="6"/>
        <v>0</v>
      </c>
      <c r="M108">
        <f t="shared" si="7"/>
        <v>0.98961245827190603</v>
      </c>
    </row>
    <row r="109" spans="1:13">
      <c r="A109">
        <v>2008</v>
      </c>
      <c r="B109">
        <v>6</v>
      </c>
      <c r="C109">
        <v>16</v>
      </c>
      <c r="D109">
        <v>9</v>
      </c>
      <c r="E109">
        <v>143.82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1">
        <f t="shared" si="6"/>
        <v>0</v>
      </c>
      <c r="M109">
        <f t="shared" si="7"/>
        <v>0.97483605307305199</v>
      </c>
    </row>
    <row r="110" spans="1:13">
      <c r="A110">
        <v>2008</v>
      </c>
      <c r="B110">
        <v>6</v>
      </c>
      <c r="C110">
        <v>16</v>
      </c>
      <c r="D110">
        <v>10</v>
      </c>
      <c r="E110">
        <v>63.8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1">
        <f t="shared" si="6"/>
        <v>0</v>
      </c>
      <c r="M110">
        <f t="shared" si="7"/>
        <v>0.43244708792977798</v>
      </c>
    </row>
    <row r="111" spans="1:13">
      <c r="A111">
        <v>2008</v>
      </c>
      <c r="B111">
        <v>6</v>
      </c>
      <c r="C111">
        <v>16</v>
      </c>
      <c r="D111">
        <v>11</v>
      </c>
      <c r="E111">
        <v>37.04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">
        <f t="shared" si="6"/>
        <v>0</v>
      </c>
      <c r="M111">
        <f t="shared" si="7"/>
        <v>0.251063325030078</v>
      </c>
    </row>
    <row r="112" spans="1:13">
      <c r="A112">
        <v>2008</v>
      </c>
      <c r="B112">
        <v>6</v>
      </c>
      <c r="C112">
        <v>16</v>
      </c>
      <c r="D112">
        <v>12</v>
      </c>
      <c r="E112">
        <v>122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>
        <f t="shared" si="6"/>
        <v>0</v>
      </c>
      <c r="M112">
        <f t="shared" si="7"/>
        <v>0.826936437734059</v>
      </c>
    </row>
    <row r="113" spans="1:13">
      <c r="A113">
        <v>2008</v>
      </c>
      <c r="B113">
        <v>6</v>
      </c>
      <c r="C113">
        <v>16</v>
      </c>
      <c r="D113">
        <v>13</v>
      </c>
      <c r="E113">
        <v>96.3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4.5</v>
      </c>
      <c r="L113" s="1">
        <f t="shared" si="6"/>
        <v>0.61307677969261198</v>
      </c>
      <c r="M113">
        <f t="shared" si="7"/>
        <v>0.65273753240811305</v>
      </c>
    </row>
    <row r="114" spans="1:13">
      <c r="A114">
        <v>2008</v>
      </c>
      <c r="B114">
        <v>6</v>
      </c>
      <c r="C114">
        <v>16</v>
      </c>
      <c r="D114">
        <v>14</v>
      </c>
      <c r="E114">
        <v>83.2</v>
      </c>
      <c r="F114">
        <v>1</v>
      </c>
      <c r="G114">
        <v>0</v>
      </c>
      <c r="H114">
        <v>1</v>
      </c>
      <c r="I114">
        <v>0</v>
      </c>
      <c r="J114">
        <v>0</v>
      </c>
      <c r="K114">
        <v>3</v>
      </c>
      <c r="L114" s="1">
        <f t="shared" si="6"/>
        <v>0.79175021699550296</v>
      </c>
      <c r="M114">
        <f t="shared" si="7"/>
        <v>0.56394353786453799</v>
      </c>
    </row>
    <row r="115" spans="1:13">
      <c r="A115">
        <v>2008</v>
      </c>
      <c r="B115">
        <v>6</v>
      </c>
      <c r="C115">
        <v>16</v>
      </c>
      <c r="D115">
        <v>15</v>
      </c>
      <c r="E115">
        <v>124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1">
        <f t="shared" si="6"/>
        <v>0</v>
      </c>
      <c r="M115">
        <f t="shared" si="7"/>
        <v>0.84049277277887902</v>
      </c>
    </row>
    <row r="116" spans="1:13">
      <c r="A116">
        <v>2008</v>
      </c>
      <c r="B116">
        <v>6</v>
      </c>
      <c r="C116">
        <v>16</v>
      </c>
      <c r="D116">
        <v>16</v>
      </c>
      <c r="E116">
        <v>133.88</v>
      </c>
      <c r="F116">
        <v>0</v>
      </c>
      <c r="G116">
        <v>0</v>
      </c>
      <c r="H116">
        <v>15</v>
      </c>
      <c r="I116">
        <v>0</v>
      </c>
      <c r="J116">
        <v>0</v>
      </c>
      <c r="K116">
        <v>0</v>
      </c>
      <c r="L116" s="1">
        <f t="shared" si="6"/>
        <v>2.3244878247165901</v>
      </c>
      <c r="M116">
        <f t="shared" si="7"/>
        <v>0.90746106790029302</v>
      </c>
    </row>
    <row r="117" spans="1:13">
      <c r="A117">
        <v>2008</v>
      </c>
      <c r="B117">
        <v>6</v>
      </c>
      <c r="C117">
        <v>16</v>
      </c>
      <c r="D117">
        <v>17</v>
      </c>
      <c r="E117">
        <v>125.94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1">
        <f t="shared" si="6"/>
        <v>0</v>
      </c>
      <c r="M117">
        <f t="shared" si="7"/>
        <v>0.85364241777235506</v>
      </c>
    </row>
    <row r="118" spans="1:13">
      <c r="A118">
        <v>2008</v>
      </c>
      <c r="B118">
        <v>6</v>
      </c>
      <c r="C118">
        <v>16</v>
      </c>
      <c r="D118">
        <v>18</v>
      </c>
      <c r="E118">
        <v>117.32</v>
      </c>
      <c r="F118">
        <v>23</v>
      </c>
      <c r="G118">
        <v>0.5</v>
      </c>
      <c r="H118">
        <v>2</v>
      </c>
      <c r="I118">
        <v>0</v>
      </c>
      <c r="J118">
        <v>0</v>
      </c>
      <c r="K118">
        <v>0</v>
      </c>
      <c r="L118" s="1">
        <f t="shared" si="6"/>
        <v>5.7060930077553502</v>
      </c>
      <c r="M118">
        <f t="shared" si="7"/>
        <v>0.79521461372917801</v>
      </c>
    </row>
    <row r="119" spans="1:13">
      <c r="A119">
        <v>2008</v>
      </c>
      <c r="B119">
        <v>6</v>
      </c>
      <c r="C119">
        <v>16</v>
      </c>
      <c r="D119">
        <v>19</v>
      </c>
      <c r="E119">
        <v>114</v>
      </c>
      <c r="F119">
        <v>18</v>
      </c>
      <c r="G119">
        <v>0</v>
      </c>
      <c r="H119">
        <v>0</v>
      </c>
      <c r="I119">
        <v>0</v>
      </c>
      <c r="J119">
        <v>0</v>
      </c>
      <c r="K119">
        <v>12.5</v>
      </c>
      <c r="L119" s="1">
        <f t="shared" si="6"/>
        <v>5.8081882146495003</v>
      </c>
      <c r="M119">
        <f t="shared" si="7"/>
        <v>0.77271109755477596</v>
      </c>
    </row>
    <row r="120" spans="1:13">
      <c r="A120">
        <v>2008</v>
      </c>
      <c r="B120">
        <v>6</v>
      </c>
      <c r="C120">
        <v>16</v>
      </c>
      <c r="D120">
        <v>20</v>
      </c>
      <c r="E120">
        <v>118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2</v>
      </c>
      <c r="L120" s="1">
        <f t="shared" si="6"/>
        <v>0.50054507763826095</v>
      </c>
      <c r="M120">
        <f t="shared" si="7"/>
        <v>0.79982376764441698</v>
      </c>
    </row>
    <row r="121" spans="1:13">
      <c r="A121">
        <v>2008</v>
      </c>
      <c r="B121">
        <v>6</v>
      </c>
      <c r="C121">
        <v>16</v>
      </c>
      <c r="D121">
        <v>21</v>
      </c>
      <c r="E121">
        <v>119.49</v>
      </c>
      <c r="F121">
        <v>0</v>
      </c>
      <c r="G121">
        <v>0</v>
      </c>
      <c r="H121">
        <v>0</v>
      </c>
      <c r="I121">
        <v>0</v>
      </c>
      <c r="J121">
        <v>0.5</v>
      </c>
      <c r="K121">
        <v>0.5</v>
      </c>
      <c r="L121" s="1">
        <f t="shared" si="6"/>
        <v>9.2262156925875305E-2</v>
      </c>
      <c r="M121">
        <f t="shared" si="7"/>
        <v>0.80992323725280901</v>
      </c>
    </row>
    <row r="122" spans="1:13">
      <c r="A122">
        <v>2008</v>
      </c>
      <c r="B122">
        <v>6</v>
      </c>
      <c r="C122">
        <v>16</v>
      </c>
      <c r="D122">
        <v>22</v>
      </c>
      <c r="E122">
        <v>118.15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1">
        <f t="shared" si="6"/>
        <v>0</v>
      </c>
      <c r="M122">
        <f t="shared" si="7"/>
        <v>0.80084049277277902</v>
      </c>
    </row>
    <row r="123" spans="1:13">
      <c r="A123">
        <v>2008</v>
      </c>
      <c r="B123">
        <v>6</v>
      </c>
      <c r="C123">
        <v>16</v>
      </c>
      <c r="D123">
        <v>23</v>
      </c>
      <c r="E123">
        <v>117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1">
        <f t="shared" si="6"/>
        <v>0</v>
      </c>
      <c r="M123">
        <f t="shared" si="7"/>
        <v>0.79304560012200698</v>
      </c>
    </row>
    <row r="124" spans="1:13">
      <c r="A124">
        <v>2008</v>
      </c>
      <c r="B124">
        <v>6</v>
      </c>
      <c r="C124">
        <v>17</v>
      </c>
      <c r="D124">
        <v>0</v>
      </c>
      <c r="E124">
        <v>118</v>
      </c>
      <c r="F124">
        <v>0.5</v>
      </c>
      <c r="G124">
        <v>0</v>
      </c>
      <c r="H124">
        <v>0</v>
      </c>
      <c r="I124">
        <v>0</v>
      </c>
      <c r="J124">
        <v>0</v>
      </c>
      <c r="K124">
        <v>0</v>
      </c>
      <c r="L124" s="1">
        <f t="shared" si="6"/>
        <v>0.114033254442995</v>
      </c>
      <c r="M124">
        <f t="shared" si="7"/>
        <v>0.79982376764441698</v>
      </c>
    </row>
    <row r="125" spans="1:13">
      <c r="A125">
        <v>2008</v>
      </c>
      <c r="B125">
        <v>6</v>
      </c>
      <c r="C125">
        <v>17</v>
      </c>
      <c r="D125">
        <v>1</v>
      </c>
      <c r="E125">
        <v>119.41</v>
      </c>
      <c r="F125">
        <v>4</v>
      </c>
      <c r="G125">
        <v>0.83</v>
      </c>
      <c r="H125">
        <v>1</v>
      </c>
      <c r="I125">
        <v>0.67</v>
      </c>
      <c r="J125">
        <v>0</v>
      </c>
      <c r="K125">
        <v>0</v>
      </c>
      <c r="L125" s="1">
        <f t="shared" si="6"/>
        <v>1.4051710263463599</v>
      </c>
      <c r="M125">
        <f t="shared" si="7"/>
        <v>0.80938098385101598</v>
      </c>
    </row>
    <row r="126" spans="1:13">
      <c r="A126">
        <v>2008</v>
      </c>
      <c r="B126">
        <v>6</v>
      </c>
      <c r="C126">
        <v>17</v>
      </c>
      <c r="D126">
        <v>2</v>
      </c>
      <c r="E126">
        <v>120.52</v>
      </c>
      <c r="F126">
        <v>3</v>
      </c>
      <c r="G126">
        <v>1.67</v>
      </c>
      <c r="H126">
        <v>0</v>
      </c>
      <c r="I126">
        <v>1.33</v>
      </c>
      <c r="J126">
        <v>0</v>
      </c>
      <c r="K126">
        <v>0</v>
      </c>
      <c r="L126" s="1">
        <f t="shared" si="6"/>
        <v>1.3617786288143701</v>
      </c>
      <c r="M126">
        <f t="shared" si="7"/>
        <v>0.81690474980089101</v>
      </c>
    </row>
    <row r="127" spans="1:13">
      <c r="A127">
        <v>2008</v>
      </c>
      <c r="B127">
        <v>6</v>
      </c>
      <c r="C127">
        <v>17</v>
      </c>
      <c r="D127">
        <v>3</v>
      </c>
      <c r="E127">
        <v>121.13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1">
        <f t="shared" si="6"/>
        <v>0</v>
      </c>
      <c r="M127">
        <f t="shared" si="7"/>
        <v>0.82103943198956197</v>
      </c>
    </row>
    <row r="128" spans="1:13">
      <c r="A128">
        <v>2008</v>
      </c>
      <c r="B128">
        <v>6</v>
      </c>
      <c r="C128">
        <v>17</v>
      </c>
      <c r="D128">
        <v>4</v>
      </c>
      <c r="E128">
        <v>121.04</v>
      </c>
      <c r="F128">
        <v>0</v>
      </c>
      <c r="G128">
        <v>0</v>
      </c>
      <c r="H128">
        <v>0.5</v>
      </c>
      <c r="I128">
        <v>0</v>
      </c>
      <c r="J128">
        <v>0</v>
      </c>
      <c r="K128">
        <v>0</v>
      </c>
      <c r="L128" s="1">
        <f t="shared" si="6"/>
        <v>7.7482927490552994E-2</v>
      </c>
      <c r="M128">
        <f t="shared" si="7"/>
        <v>0.82042939691254502</v>
      </c>
    </row>
    <row r="129" spans="1:13">
      <c r="A129">
        <v>2008</v>
      </c>
      <c r="B129">
        <v>6</v>
      </c>
      <c r="C129">
        <v>17</v>
      </c>
      <c r="D129">
        <v>5</v>
      </c>
      <c r="E129">
        <v>120.07</v>
      </c>
      <c r="F129">
        <v>0</v>
      </c>
      <c r="G129">
        <v>0</v>
      </c>
      <c r="H129">
        <v>9.5</v>
      </c>
      <c r="I129">
        <v>0</v>
      </c>
      <c r="J129">
        <v>3</v>
      </c>
      <c r="K129">
        <v>0</v>
      </c>
      <c r="L129" s="1">
        <f t="shared" si="6"/>
        <v>1.6170307107473501</v>
      </c>
      <c r="M129">
        <f t="shared" si="7"/>
        <v>0.813854574415807</v>
      </c>
    </row>
    <row r="130" spans="1:13">
      <c r="A130">
        <v>2008</v>
      </c>
      <c r="B130">
        <v>6</v>
      </c>
      <c r="C130">
        <v>17</v>
      </c>
      <c r="D130">
        <v>6</v>
      </c>
      <c r="E130">
        <v>118</v>
      </c>
      <c r="F130">
        <v>0</v>
      </c>
      <c r="G130">
        <v>0</v>
      </c>
      <c r="H130">
        <v>1</v>
      </c>
      <c r="I130">
        <v>0.5</v>
      </c>
      <c r="J130">
        <v>4.5</v>
      </c>
      <c r="K130">
        <v>1.17</v>
      </c>
      <c r="L130" s="1">
        <f t="shared" si="6"/>
        <v>0.59723851806664097</v>
      </c>
      <c r="M130">
        <f t="shared" si="7"/>
        <v>0.79982376764441698</v>
      </c>
    </row>
    <row r="131" spans="1:13">
      <c r="A131">
        <v>2008</v>
      </c>
      <c r="B131">
        <v>6</v>
      </c>
      <c r="C131">
        <v>17</v>
      </c>
      <c r="D131">
        <v>7</v>
      </c>
      <c r="E131">
        <v>114.42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2.33</v>
      </c>
      <c r="L131" s="1">
        <f t="shared" si="6"/>
        <v>0.31743753259639701</v>
      </c>
      <c r="M131">
        <f t="shared" si="7"/>
        <v>0.77555792791418798</v>
      </c>
    </row>
    <row r="132" spans="1:13">
      <c r="A132">
        <v>2008</v>
      </c>
      <c r="B132">
        <v>6</v>
      </c>
      <c r="C132">
        <v>17</v>
      </c>
      <c r="D132">
        <v>8</v>
      </c>
      <c r="E132">
        <v>108</v>
      </c>
      <c r="F132">
        <v>2.5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f t="shared" si="6"/>
        <v>0.57016627221497296</v>
      </c>
      <c r="M132">
        <f t="shared" si="7"/>
        <v>0.73204209242031404</v>
      </c>
    </row>
    <row r="133" spans="1:13">
      <c r="A133">
        <v>2008</v>
      </c>
      <c r="B133">
        <v>6</v>
      </c>
      <c r="C133">
        <v>17</v>
      </c>
      <c r="D133">
        <v>9</v>
      </c>
      <c r="E133">
        <v>97.8</v>
      </c>
      <c r="F133">
        <v>0.86</v>
      </c>
      <c r="G133">
        <v>0.5</v>
      </c>
      <c r="H133">
        <v>0</v>
      </c>
      <c r="I133">
        <v>0</v>
      </c>
      <c r="J133">
        <v>0</v>
      </c>
      <c r="K133">
        <v>0</v>
      </c>
      <c r="L133" s="1">
        <f t="shared" ref="L133:L164" si="8">F133*$F$2+G133*$G$2+H133*$H$2+I133*$I$2+J133*$J$2+K133*$K$2</f>
        <v>0.34676879105733799</v>
      </c>
      <c r="M133">
        <f t="shared" ref="M133:M164" si="9">E133*3600/(1000*$L$1)</f>
        <v>0.662904783691729</v>
      </c>
    </row>
    <row r="134" spans="1:13">
      <c r="A134">
        <v>2008</v>
      </c>
      <c r="B134">
        <v>6</v>
      </c>
      <c r="C134">
        <v>17</v>
      </c>
      <c r="D134">
        <v>10</v>
      </c>
      <c r="E134">
        <v>86.77</v>
      </c>
      <c r="F134">
        <v>0.64</v>
      </c>
      <c r="G134">
        <v>0</v>
      </c>
      <c r="H134">
        <v>0</v>
      </c>
      <c r="I134">
        <v>0</v>
      </c>
      <c r="J134">
        <v>2</v>
      </c>
      <c r="K134">
        <v>0</v>
      </c>
      <c r="L134" s="1">
        <f t="shared" si="8"/>
        <v>0.242532624638262</v>
      </c>
      <c r="M134">
        <f t="shared" si="9"/>
        <v>0.58814159591954296</v>
      </c>
    </row>
    <row r="135" spans="1:13">
      <c r="A135">
        <v>2008</v>
      </c>
      <c r="B135">
        <v>6</v>
      </c>
      <c r="C135">
        <v>17</v>
      </c>
      <c r="D135">
        <v>11</v>
      </c>
      <c r="E135">
        <v>93.2</v>
      </c>
      <c r="F135">
        <v>0</v>
      </c>
      <c r="G135">
        <v>0</v>
      </c>
      <c r="H135">
        <v>0</v>
      </c>
      <c r="I135">
        <v>0.5</v>
      </c>
      <c r="J135">
        <v>0</v>
      </c>
      <c r="K135">
        <v>0</v>
      </c>
      <c r="L135" s="1">
        <f t="shared" si="8"/>
        <v>6.5590067725190507E-2</v>
      </c>
      <c r="M135">
        <f t="shared" si="9"/>
        <v>0.63172521308864105</v>
      </c>
    </row>
    <row r="136" spans="1:13">
      <c r="A136">
        <v>2008</v>
      </c>
      <c r="B136">
        <v>6</v>
      </c>
      <c r="C136">
        <v>17</v>
      </c>
      <c r="D136">
        <v>12</v>
      </c>
      <c r="E136">
        <v>122</v>
      </c>
      <c r="F136">
        <v>0</v>
      </c>
      <c r="G136">
        <v>0</v>
      </c>
      <c r="H136">
        <v>0.5</v>
      </c>
      <c r="I136">
        <v>0</v>
      </c>
      <c r="J136">
        <v>0</v>
      </c>
      <c r="K136">
        <v>1.5</v>
      </c>
      <c r="L136" s="1">
        <f t="shared" si="8"/>
        <v>0.28184185405475698</v>
      </c>
      <c r="M136">
        <f t="shared" si="9"/>
        <v>0.826936437734059</v>
      </c>
    </row>
    <row r="137" spans="1:13">
      <c r="A137">
        <v>2008</v>
      </c>
      <c r="B137">
        <v>6</v>
      </c>
      <c r="C137">
        <v>17</v>
      </c>
      <c r="D137">
        <v>13</v>
      </c>
      <c r="E137">
        <v>115.12</v>
      </c>
      <c r="F137">
        <v>1</v>
      </c>
      <c r="G137">
        <v>0</v>
      </c>
      <c r="H137">
        <v>0</v>
      </c>
      <c r="I137">
        <v>0</v>
      </c>
      <c r="J137">
        <v>0.5</v>
      </c>
      <c r="K137">
        <v>0</v>
      </c>
      <c r="L137" s="1">
        <f t="shared" si="8"/>
        <v>0.25220902362379599</v>
      </c>
      <c r="M137">
        <f t="shared" si="9"/>
        <v>0.78030264517987602</v>
      </c>
    </row>
    <row r="138" spans="1:13">
      <c r="A138">
        <v>2008</v>
      </c>
      <c r="B138">
        <v>6</v>
      </c>
      <c r="C138">
        <v>17</v>
      </c>
      <c r="D138">
        <v>14</v>
      </c>
      <c r="E138">
        <v>92.2</v>
      </c>
      <c r="F138">
        <v>0</v>
      </c>
      <c r="G138">
        <v>0.11</v>
      </c>
      <c r="H138">
        <v>0</v>
      </c>
      <c r="I138">
        <v>0</v>
      </c>
      <c r="J138">
        <v>0</v>
      </c>
      <c r="K138">
        <v>0</v>
      </c>
      <c r="L138" s="1">
        <f t="shared" si="8"/>
        <v>3.3138950551385098E-2</v>
      </c>
      <c r="M138">
        <f t="shared" si="9"/>
        <v>0.62494704556623104</v>
      </c>
    </row>
    <row r="139" spans="1:13">
      <c r="A139">
        <v>2008</v>
      </c>
      <c r="B139">
        <v>6</v>
      </c>
      <c r="C139">
        <v>17</v>
      </c>
      <c r="D139">
        <v>15</v>
      </c>
      <c r="E139">
        <v>88.92</v>
      </c>
      <c r="F139">
        <v>1.67</v>
      </c>
      <c r="G139">
        <v>0.33</v>
      </c>
      <c r="H139">
        <v>1.5</v>
      </c>
      <c r="I139">
        <v>0</v>
      </c>
      <c r="J139">
        <v>0</v>
      </c>
      <c r="K139">
        <v>0</v>
      </c>
      <c r="L139" s="1">
        <f t="shared" si="8"/>
        <v>0.712736703965416</v>
      </c>
      <c r="M139">
        <f t="shared" si="9"/>
        <v>0.60271465609272501</v>
      </c>
    </row>
    <row r="140" spans="1:13">
      <c r="A140">
        <v>2008</v>
      </c>
      <c r="B140">
        <v>6</v>
      </c>
      <c r="C140">
        <v>17</v>
      </c>
      <c r="D140">
        <v>16</v>
      </c>
      <c r="E140">
        <v>103.93</v>
      </c>
      <c r="F140">
        <v>3.33</v>
      </c>
      <c r="G140">
        <v>0.67</v>
      </c>
      <c r="H140">
        <v>0</v>
      </c>
      <c r="I140">
        <v>0.5</v>
      </c>
      <c r="J140">
        <v>0</v>
      </c>
      <c r="K140">
        <v>3.5</v>
      </c>
      <c r="L140" s="1">
        <f t="shared" si="8"/>
        <v>1.50373537280863</v>
      </c>
      <c r="M140">
        <f t="shared" si="9"/>
        <v>0.70445495060410401</v>
      </c>
    </row>
    <row r="141" spans="1:13">
      <c r="A141">
        <v>2008</v>
      </c>
      <c r="B141">
        <v>6</v>
      </c>
      <c r="C141">
        <v>17</v>
      </c>
      <c r="D141">
        <v>17</v>
      </c>
      <c r="E141">
        <v>111</v>
      </c>
      <c r="F141">
        <v>3.5</v>
      </c>
      <c r="G141">
        <v>0.56000000000000005</v>
      </c>
      <c r="H141">
        <v>0.5</v>
      </c>
      <c r="I141">
        <v>1</v>
      </c>
      <c r="J141">
        <v>0</v>
      </c>
      <c r="K141">
        <v>0.5</v>
      </c>
      <c r="L141" s="1">
        <f t="shared" si="8"/>
        <v>1.2437228708551999</v>
      </c>
      <c r="M141">
        <f t="shared" si="9"/>
        <v>0.75237659498754506</v>
      </c>
    </row>
    <row r="142" spans="1:13">
      <c r="A142">
        <v>2008</v>
      </c>
      <c r="B142">
        <v>6</v>
      </c>
      <c r="C142">
        <v>17</v>
      </c>
      <c r="D142">
        <v>18</v>
      </c>
      <c r="E142">
        <v>94.2</v>
      </c>
      <c r="F142">
        <v>3.5</v>
      </c>
      <c r="G142">
        <v>6.5</v>
      </c>
      <c r="H142">
        <v>3</v>
      </c>
      <c r="I142">
        <v>7</v>
      </c>
      <c r="J142">
        <v>1</v>
      </c>
      <c r="K142">
        <v>3</v>
      </c>
      <c r="L142" s="1">
        <f t="shared" si="8"/>
        <v>4.5966048912010002</v>
      </c>
      <c r="M142">
        <f t="shared" si="9"/>
        <v>0.63850338061105205</v>
      </c>
    </row>
    <row r="143" spans="1:13">
      <c r="A143">
        <v>2008</v>
      </c>
      <c r="B143">
        <v>6</v>
      </c>
      <c r="C143">
        <v>17</v>
      </c>
      <c r="D143">
        <v>19</v>
      </c>
      <c r="E143">
        <v>95.3</v>
      </c>
      <c r="F143">
        <v>5.5</v>
      </c>
      <c r="G143">
        <v>7.5</v>
      </c>
      <c r="H143">
        <v>4</v>
      </c>
      <c r="I143">
        <v>8.5</v>
      </c>
      <c r="J143">
        <v>2</v>
      </c>
      <c r="K143">
        <v>1.69</v>
      </c>
      <c r="L143" s="1">
        <f t="shared" si="8"/>
        <v>5.5755487209033099</v>
      </c>
      <c r="M143">
        <f t="shared" si="9"/>
        <v>0.64595936488570305</v>
      </c>
    </row>
    <row r="144" spans="1:13">
      <c r="A144">
        <v>2008</v>
      </c>
      <c r="B144">
        <v>6</v>
      </c>
      <c r="C144">
        <v>17</v>
      </c>
      <c r="D144">
        <v>20</v>
      </c>
      <c r="E144">
        <v>100.83</v>
      </c>
      <c r="F144">
        <v>2</v>
      </c>
      <c r="G144">
        <v>2.5</v>
      </c>
      <c r="H144">
        <v>2.5</v>
      </c>
      <c r="I144">
        <v>2.5</v>
      </c>
      <c r="J144">
        <v>3.5</v>
      </c>
      <c r="K144">
        <v>1.81</v>
      </c>
      <c r="L144" s="1">
        <f t="shared" si="8"/>
        <v>2.3402466688130898</v>
      </c>
      <c r="M144">
        <f t="shared" si="9"/>
        <v>0.68344263128463201</v>
      </c>
    </row>
    <row r="145" spans="1:13">
      <c r="A145">
        <v>2008</v>
      </c>
      <c r="B145">
        <v>6</v>
      </c>
      <c r="C145">
        <v>17</v>
      </c>
      <c r="D145">
        <v>21</v>
      </c>
      <c r="E145">
        <v>115</v>
      </c>
      <c r="F145">
        <v>0.81</v>
      </c>
      <c r="G145">
        <v>2.5</v>
      </c>
      <c r="H145">
        <v>1.1399999999999999</v>
      </c>
      <c r="I145">
        <v>1.25</v>
      </c>
      <c r="J145">
        <v>0.88</v>
      </c>
      <c r="K145">
        <v>1.28</v>
      </c>
      <c r="L145" s="1">
        <f t="shared" si="8"/>
        <v>1.4954051932060199</v>
      </c>
      <c r="M145">
        <f t="shared" si="9"/>
        <v>0.77948926507718597</v>
      </c>
    </row>
    <row r="146" spans="1:13">
      <c r="A146">
        <v>2008</v>
      </c>
      <c r="B146">
        <v>6</v>
      </c>
      <c r="C146">
        <v>17</v>
      </c>
      <c r="D146">
        <v>22</v>
      </c>
      <c r="E146">
        <v>143.21</v>
      </c>
      <c r="F146">
        <v>0.69</v>
      </c>
      <c r="G146">
        <v>0</v>
      </c>
      <c r="H146">
        <v>1.46</v>
      </c>
      <c r="I146">
        <v>1.25</v>
      </c>
      <c r="J146">
        <v>0.88</v>
      </c>
      <c r="K146">
        <v>1.33</v>
      </c>
      <c r="L146" s="1">
        <f t="shared" si="8"/>
        <v>0.77128028287552497</v>
      </c>
      <c r="M146">
        <f t="shared" si="9"/>
        <v>0.97070137088438102</v>
      </c>
    </row>
    <row r="147" spans="1:13">
      <c r="A147">
        <v>2008</v>
      </c>
      <c r="B147">
        <v>6</v>
      </c>
      <c r="C147">
        <v>17</v>
      </c>
      <c r="D147">
        <v>23</v>
      </c>
      <c r="E147">
        <v>156.65</v>
      </c>
      <c r="F147">
        <v>4</v>
      </c>
      <c r="G147">
        <v>10.5</v>
      </c>
      <c r="H147">
        <v>1.79</v>
      </c>
      <c r="I147">
        <v>6</v>
      </c>
      <c r="J147">
        <v>0.88</v>
      </c>
      <c r="K147">
        <v>1.39</v>
      </c>
      <c r="L147" s="1">
        <f t="shared" si="8"/>
        <v>5.3718626216069199</v>
      </c>
      <c r="M147">
        <f t="shared" si="9"/>
        <v>1.06179994238558</v>
      </c>
    </row>
    <row r="148" spans="1:13">
      <c r="A148">
        <v>2008</v>
      </c>
      <c r="B148">
        <v>6</v>
      </c>
      <c r="C148">
        <v>18</v>
      </c>
      <c r="D148">
        <v>0</v>
      </c>
      <c r="E148">
        <v>118</v>
      </c>
      <c r="F148">
        <v>12.5</v>
      </c>
      <c r="G148">
        <v>11.5</v>
      </c>
      <c r="H148">
        <v>2.11</v>
      </c>
      <c r="I148">
        <v>10</v>
      </c>
      <c r="J148">
        <v>0.88</v>
      </c>
      <c r="K148">
        <v>3.5</v>
      </c>
      <c r="L148" s="1">
        <f t="shared" si="8"/>
        <v>8.4734656393977197</v>
      </c>
      <c r="M148">
        <f t="shared" si="9"/>
        <v>0.79982376764441698</v>
      </c>
    </row>
    <row r="149" spans="1:13">
      <c r="A149">
        <v>2008</v>
      </c>
      <c r="B149">
        <v>6</v>
      </c>
      <c r="C149">
        <v>18</v>
      </c>
      <c r="D149">
        <v>1</v>
      </c>
      <c r="E149">
        <v>120</v>
      </c>
      <c r="F149">
        <v>5.5</v>
      </c>
      <c r="G149">
        <v>7</v>
      </c>
      <c r="H149">
        <v>7</v>
      </c>
      <c r="I149">
        <v>7.5</v>
      </c>
      <c r="J149">
        <v>3.5</v>
      </c>
      <c r="K149">
        <v>7</v>
      </c>
      <c r="L149" s="1">
        <f t="shared" si="8"/>
        <v>6.5544927012315597</v>
      </c>
      <c r="M149">
        <f t="shared" si="9"/>
        <v>0.81338010268923799</v>
      </c>
    </row>
    <row r="150" spans="1:13">
      <c r="A150">
        <v>2008</v>
      </c>
      <c r="B150">
        <v>6</v>
      </c>
      <c r="C150">
        <v>18</v>
      </c>
      <c r="D150">
        <v>2</v>
      </c>
      <c r="E150">
        <v>340.92</v>
      </c>
      <c r="F150">
        <v>1.5</v>
      </c>
      <c r="G150">
        <v>9</v>
      </c>
      <c r="H150">
        <v>19</v>
      </c>
      <c r="I150">
        <v>13.5</v>
      </c>
      <c r="J150">
        <v>11.5</v>
      </c>
      <c r="K150">
        <v>11.5</v>
      </c>
      <c r="L150" s="1">
        <f t="shared" si="8"/>
        <v>9.8907811273222404</v>
      </c>
      <c r="M150">
        <f t="shared" si="9"/>
        <v>2.31081287174012</v>
      </c>
    </row>
    <row r="151" spans="1:13">
      <c r="A151">
        <v>2008</v>
      </c>
      <c r="B151">
        <v>6</v>
      </c>
      <c r="C151">
        <v>18</v>
      </c>
      <c r="D151">
        <v>3</v>
      </c>
      <c r="E151">
        <v>409.94</v>
      </c>
      <c r="F151">
        <v>3</v>
      </c>
      <c r="G151">
        <v>3.84</v>
      </c>
      <c r="H151">
        <v>9.5</v>
      </c>
      <c r="I151">
        <v>8</v>
      </c>
      <c r="J151">
        <v>10.5</v>
      </c>
      <c r="K151">
        <v>4.5</v>
      </c>
      <c r="L151" s="1">
        <f t="shared" si="8"/>
        <v>5.4827364591982599</v>
      </c>
      <c r="M151">
        <f t="shared" si="9"/>
        <v>2.7786419941368901</v>
      </c>
    </row>
    <row r="152" spans="1:13">
      <c r="A152">
        <v>2008</v>
      </c>
      <c r="B152">
        <v>6</v>
      </c>
      <c r="C152">
        <v>18</v>
      </c>
      <c r="D152">
        <v>4</v>
      </c>
      <c r="E152">
        <v>374.82</v>
      </c>
      <c r="F152">
        <v>5</v>
      </c>
      <c r="G152">
        <v>1.24</v>
      </c>
      <c r="H152">
        <v>3.5</v>
      </c>
      <c r="I152">
        <v>1.69</v>
      </c>
      <c r="J152">
        <v>1.81</v>
      </c>
      <c r="K152">
        <v>1.24</v>
      </c>
      <c r="L152" s="1">
        <f t="shared" si="8"/>
        <v>2.5343064334223899</v>
      </c>
      <c r="M152">
        <f t="shared" si="9"/>
        <v>2.54059275074983</v>
      </c>
    </row>
    <row r="153" spans="1:13">
      <c r="A153">
        <v>2008</v>
      </c>
      <c r="B153">
        <v>6</v>
      </c>
      <c r="C153">
        <v>18</v>
      </c>
      <c r="D153">
        <v>5</v>
      </c>
      <c r="E153">
        <v>297.07</v>
      </c>
      <c r="F153">
        <v>0.5</v>
      </c>
      <c r="G153">
        <v>1.19</v>
      </c>
      <c r="H153">
        <v>1.28</v>
      </c>
      <c r="I153">
        <v>0.81</v>
      </c>
      <c r="J153">
        <v>0.69</v>
      </c>
      <c r="K153">
        <v>0.76</v>
      </c>
      <c r="L153" s="1">
        <f t="shared" si="8"/>
        <v>0.91400717732627701</v>
      </c>
      <c r="M153">
        <f t="shared" si="9"/>
        <v>2.0135902258824299</v>
      </c>
    </row>
    <row r="154" spans="1:13">
      <c r="A154">
        <v>2008</v>
      </c>
      <c r="B154">
        <v>6</v>
      </c>
      <c r="C154">
        <v>18</v>
      </c>
      <c r="D154">
        <v>6</v>
      </c>
      <c r="E154">
        <v>254.31</v>
      </c>
      <c r="F154">
        <v>0</v>
      </c>
      <c r="G154">
        <v>1.1399999999999999</v>
      </c>
      <c r="H154">
        <v>1.51</v>
      </c>
      <c r="I154">
        <v>0</v>
      </c>
      <c r="J154">
        <v>0</v>
      </c>
      <c r="K154">
        <v>0</v>
      </c>
      <c r="L154" s="1">
        <f t="shared" si="8"/>
        <v>0.57743847400855197</v>
      </c>
      <c r="M154">
        <f t="shared" si="9"/>
        <v>1.7237557826241701</v>
      </c>
    </row>
    <row r="155" spans="1:13">
      <c r="A155">
        <v>2008</v>
      </c>
      <c r="B155">
        <v>6</v>
      </c>
      <c r="C155">
        <v>18</v>
      </c>
      <c r="D155">
        <v>7</v>
      </c>
      <c r="E155">
        <v>342</v>
      </c>
      <c r="F155">
        <v>2</v>
      </c>
      <c r="G155">
        <v>1.0900000000000001</v>
      </c>
      <c r="H155">
        <v>1.74</v>
      </c>
      <c r="I155">
        <v>0.5</v>
      </c>
      <c r="J155">
        <v>0.5</v>
      </c>
      <c r="K155">
        <v>0.5</v>
      </c>
      <c r="L155" s="1">
        <f t="shared" si="8"/>
        <v>1.21200270373571</v>
      </c>
      <c r="M155">
        <f t="shared" si="9"/>
        <v>2.3181332926643301</v>
      </c>
    </row>
    <row r="156" spans="1:13">
      <c r="A156">
        <v>2008</v>
      </c>
      <c r="B156">
        <v>6</v>
      </c>
      <c r="C156">
        <v>18</v>
      </c>
      <c r="D156">
        <v>8</v>
      </c>
      <c r="E156">
        <v>273</v>
      </c>
      <c r="F156">
        <v>3</v>
      </c>
      <c r="G156">
        <v>0.71</v>
      </c>
      <c r="H156">
        <v>1.97</v>
      </c>
      <c r="I156">
        <v>1</v>
      </c>
      <c r="J156">
        <v>0</v>
      </c>
      <c r="K156">
        <v>1</v>
      </c>
      <c r="L156" s="1">
        <f t="shared" si="8"/>
        <v>1.47079854344711</v>
      </c>
      <c r="M156">
        <f t="shared" si="9"/>
        <v>1.8504397336180201</v>
      </c>
    </row>
    <row r="157" spans="1:13">
      <c r="A157">
        <v>2008</v>
      </c>
      <c r="B157">
        <v>6</v>
      </c>
      <c r="C157">
        <v>18</v>
      </c>
      <c r="D157">
        <v>9</v>
      </c>
      <c r="E157">
        <v>202.15</v>
      </c>
      <c r="F157">
        <v>3.5</v>
      </c>
      <c r="G157">
        <v>1</v>
      </c>
      <c r="H157">
        <v>1.5</v>
      </c>
      <c r="I157">
        <v>0</v>
      </c>
      <c r="J157">
        <v>0.5</v>
      </c>
      <c r="K157">
        <v>1</v>
      </c>
      <c r="L157" s="1">
        <f t="shared" si="8"/>
        <v>1.4923265495173399</v>
      </c>
      <c r="M157">
        <f t="shared" si="9"/>
        <v>1.3702065646552499</v>
      </c>
    </row>
    <row r="158" spans="1:13">
      <c r="A158">
        <v>2008</v>
      </c>
      <c r="B158">
        <v>6</v>
      </c>
      <c r="C158">
        <v>18</v>
      </c>
      <c r="D158">
        <v>10</v>
      </c>
      <c r="E158">
        <v>219.75</v>
      </c>
      <c r="F158">
        <v>3.5</v>
      </c>
      <c r="G158">
        <v>24.5</v>
      </c>
      <c r="H158">
        <v>8</v>
      </c>
      <c r="I158">
        <v>27.5</v>
      </c>
      <c r="J158">
        <v>7</v>
      </c>
      <c r="K158">
        <v>19.5</v>
      </c>
      <c r="L158" s="1">
        <f t="shared" si="8"/>
        <v>16.021022674853199</v>
      </c>
      <c r="M158">
        <f t="shared" si="9"/>
        <v>1.4895023130496701</v>
      </c>
    </row>
    <row r="159" spans="1:13">
      <c r="A159">
        <v>2008</v>
      </c>
      <c r="B159">
        <v>6</v>
      </c>
      <c r="C159">
        <v>18</v>
      </c>
      <c r="D159">
        <v>11</v>
      </c>
      <c r="E159">
        <v>242</v>
      </c>
      <c r="F159">
        <v>0.5</v>
      </c>
      <c r="G159">
        <v>9.07</v>
      </c>
      <c r="H159">
        <v>4</v>
      </c>
      <c r="I159">
        <v>1</v>
      </c>
      <c r="J159">
        <v>4.5</v>
      </c>
      <c r="K159">
        <v>3.5</v>
      </c>
      <c r="L159" s="1">
        <f t="shared" si="8"/>
        <v>4.2916540423296601</v>
      </c>
      <c r="M159">
        <f t="shared" si="9"/>
        <v>1.6403165404233</v>
      </c>
    </row>
    <row r="160" spans="1:13">
      <c r="A160">
        <v>2008</v>
      </c>
      <c r="B160">
        <v>6</v>
      </c>
      <c r="C160">
        <v>18</v>
      </c>
      <c r="D160">
        <v>12</v>
      </c>
      <c r="E160">
        <v>253.36</v>
      </c>
      <c r="F160">
        <v>0</v>
      </c>
      <c r="G160">
        <v>1</v>
      </c>
      <c r="H160">
        <v>5</v>
      </c>
      <c r="I160">
        <v>0</v>
      </c>
      <c r="J160">
        <v>2.06</v>
      </c>
      <c r="K160">
        <v>0.86</v>
      </c>
      <c r="L160" s="1">
        <f t="shared" si="8"/>
        <v>1.29272540701955</v>
      </c>
      <c r="M160">
        <f t="shared" si="9"/>
        <v>1.71731652347788</v>
      </c>
    </row>
    <row r="161" spans="1:13">
      <c r="A161">
        <v>2008</v>
      </c>
      <c r="B161">
        <v>6</v>
      </c>
      <c r="C161">
        <v>18</v>
      </c>
      <c r="D161">
        <v>13</v>
      </c>
      <c r="E161">
        <v>255.26</v>
      </c>
      <c r="F161">
        <v>4.5</v>
      </c>
      <c r="G161">
        <v>0.43</v>
      </c>
      <c r="H161">
        <v>4</v>
      </c>
      <c r="I161">
        <v>2.5</v>
      </c>
      <c r="J161">
        <v>1.94</v>
      </c>
      <c r="K161">
        <v>0.98</v>
      </c>
      <c r="L161" s="1">
        <f t="shared" si="8"/>
        <v>2.3308436747458701</v>
      </c>
      <c r="M161">
        <f t="shared" si="9"/>
        <v>1.7301950417704599</v>
      </c>
    </row>
    <row r="162" spans="1:13">
      <c r="A162">
        <v>2008</v>
      </c>
      <c r="B162">
        <v>6</v>
      </c>
      <c r="C162">
        <v>18</v>
      </c>
      <c r="D162">
        <v>14</v>
      </c>
      <c r="E162">
        <v>251.42</v>
      </c>
      <c r="F162">
        <v>3</v>
      </c>
      <c r="G162">
        <v>5.5</v>
      </c>
      <c r="H162">
        <v>8.5</v>
      </c>
      <c r="I162">
        <v>4.5</v>
      </c>
      <c r="J162">
        <v>7</v>
      </c>
      <c r="K162">
        <v>1.1100000000000001</v>
      </c>
      <c r="L162" s="1">
        <f t="shared" si="8"/>
        <v>4.7378882430801497</v>
      </c>
      <c r="M162">
        <f t="shared" si="9"/>
        <v>1.7041668784844</v>
      </c>
    </row>
    <row r="163" spans="1:13">
      <c r="A163">
        <v>2008</v>
      </c>
      <c r="B163">
        <v>6</v>
      </c>
      <c r="C163">
        <v>18</v>
      </c>
      <c r="D163">
        <v>15</v>
      </c>
      <c r="E163">
        <v>245</v>
      </c>
      <c r="F163">
        <v>1.1100000000000001</v>
      </c>
      <c r="G163">
        <v>2.77</v>
      </c>
      <c r="H163">
        <v>2.2400000000000002</v>
      </c>
      <c r="I163">
        <v>1.61</v>
      </c>
      <c r="J163">
        <v>1.73</v>
      </c>
      <c r="K163">
        <v>1.23</v>
      </c>
      <c r="L163" s="1">
        <f t="shared" si="8"/>
        <v>1.8970838063929401</v>
      </c>
      <c r="M163">
        <f t="shared" si="9"/>
        <v>1.6606510429905299</v>
      </c>
    </row>
    <row r="164" spans="1:13">
      <c r="A164">
        <v>2008</v>
      </c>
      <c r="B164">
        <v>6</v>
      </c>
      <c r="C164">
        <v>18</v>
      </c>
      <c r="D164">
        <v>16</v>
      </c>
      <c r="E164">
        <v>238.56</v>
      </c>
      <c r="F164">
        <v>1.17</v>
      </c>
      <c r="G164">
        <v>1.33</v>
      </c>
      <c r="H164">
        <v>2</v>
      </c>
      <c r="I164">
        <v>1.67</v>
      </c>
      <c r="J164">
        <v>1.5</v>
      </c>
      <c r="K164">
        <v>1.35</v>
      </c>
      <c r="L164" s="1">
        <f t="shared" si="8"/>
        <v>1.4528709681670899</v>
      </c>
      <c r="M164">
        <f t="shared" si="9"/>
        <v>1.61699964414621</v>
      </c>
    </row>
    <row r="165" spans="1:13">
      <c r="A165">
        <v>2008</v>
      </c>
      <c r="B165">
        <v>6</v>
      </c>
      <c r="C165">
        <v>18</v>
      </c>
      <c r="D165">
        <v>17</v>
      </c>
      <c r="E165">
        <v>232.22</v>
      </c>
      <c r="F165">
        <v>1.22</v>
      </c>
      <c r="G165">
        <v>0.84</v>
      </c>
      <c r="H165">
        <v>1.76</v>
      </c>
      <c r="I165">
        <v>1.72</v>
      </c>
      <c r="J165">
        <v>1.27</v>
      </c>
      <c r="K165">
        <v>1.47</v>
      </c>
      <c r="L165" s="1">
        <f t="shared" ref="L165:L187" si="10">F165*$F$2+G165*$G$2+H165*$H$2+I165*$I$2+J165*$J$2+K165*$K$2</f>
        <v>1.2912656909871101</v>
      </c>
      <c r="M165">
        <f t="shared" ref="M165:M187" si="11">E165*3600/(1000*$L$1)</f>
        <v>1.57402606205412</v>
      </c>
    </row>
    <row r="166" spans="1:13">
      <c r="A166">
        <v>2008</v>
      </c>
      <c r="B166">
        <v>6</v>
      </c>
      <c r="C166">
        <v>18</v>
      </c>
      <c r="D166">
        <v>18</v>
      </c>
      <c r="E166">
        <v>225.53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s="1">
        <f t="shared" si="10"/>
        <v>0</v>
      </c>
      <c r="M166">
        <f t="shared" si="11"/>
        <v>1.5286801213292001</v>
      </c>
    </row>
    <row r="167" spans="1:13">
      <c r="A167">
        <v>2008</v>
      </c>
      <c r="B167">
        <v>6</v>
      </c>
      <c r="C167">
        <v>18</v>
      </c>
      <c r="D167">
        <v>19</v>
      </c>
      <c r="E167">
        <v>218</v>
      </c>
      <c r="F167">
        <v>0.5</v>
      </c>
      <c r="G167">
        <v>0.83</v>
      </c>
      <c r="H167">
        <v>0</v>
      </c>
      <c r="I167">
        <v>0</v>
      </c>
      <c r="J167">
        <v>0</v>
      </c>
      <c r="K167">
        <v>0</v>
      </c>
      <c r="L167" s="1">
        <f t="shared" si="10"/>
        <v>0.36408169951253699</v>
      </c>
      <c r="M167">
        <f t="shared" si="11"/>
        <v>1.4776405198854501</v>
      </c>
    </row>
    <row r="168" spans="1:13">
      <c r="A168">
        <v>2008</v>
      </c>
      <c r="B168">
        <v>6</v>
      </c>
      <c r="C168">
        <v>18</v>
      </c>
      <c r="D168">
        <v>20</v>
      </c>
      <c r="E168">
        <v>209.39</v>
      </c>
      <c r="F168">
        <v>7</v>
      </c>
      <c r="G168">
        <v>1.67</v>
      </c>
      <c r="H168">
        <v>1.5</v>
      </c>
      <c r="I168">
        <v>1</v>
      </c>
      <c r="J168">
        <v>0</v>
      </c>
      <c r="K168">
        <v>0.5</v>
      </c>
      <c r="L168" s="1">
        <f t="shared" si="10"/>
        <v>2.53132364431942</v>
      </c>
      <c r="M168">
        <f t="shared" si="11"/>
        <v>1.4192804975175</v>
      </c>
    </row>
    <row r="169" spans="1:13">
      <c r="A169">
        <v>2008</v>
      </c>
      <c r="B169">
        <v>6</v>
      </c>
      <c r="C169">
        <v>18</v>
      </c>
      <c r="D169">
        <v>21</v>
      </c>
      <c r="E169">
        <v>200.38</v>
      </c>
      <c r="F169">
        <v>3.5</v>
      </c>
      <c r="G169">
        <v>0.64</v>
      </c>
      <c r="H169">
        <v>0.75</v>
      </c>
      <c r="I169">
        <v>0</v>
      </c>
      <c r="J169">
        <v>0</v>
      </c>
      <c r="K169">
        <v>0.5</v>
      </c>
      <c r="L169" s="1">
        <f t="shared" si="10"/>
        <v>1.1753852540965499</v>
      </c>
      <c r="M169">
        <f t="shared" si="11"/>
        <v>1.3582092081405801</v>
      </c>
    </row>
    <row r="170" spans="1:13">
      <c r="A170">
        <v>2008</v>
      </c>
      <c r="B170">
        <v>6</v>
      </c>
      <c r="C170">
        <v>18</v>
      </c>
      <c r="D170">
        <v>22</v>
      </c>
      <c r="E170">
        <v>191.87</v>
      </c>
      <c r="F170">
        <v>0.69</v>
      </c>
      <c r="G170">
        <v>0.36</v>
      </c>
      <c r="H170">
        <v>0.75</v>
      </c>
      <c r="I170">
        <v>0</v>
      </c>
      <c r="J170">
        <v>0</v>
      </c>
      <c r="K170">
        <v>0</v>
      </c>
      <c r="L170" s="1">
        <f t="shared" si="10"/>
        <v>0.38204502962624098</v>
      </c>
      <c r="M170">
        <f t="shared" si="11"/>
        <v>1.3005270025248701</v>
      </c>
    </row>
    <row r="171" spans="1:13">
      <c r="A171">
        <v>2008</v>
      </c>
      <c r="B171">
        <v>6</v>
      </c>
      <c r="C171">
        <v>18</v>
      </c>
      <c r="D171">
        <v>23</v>
      </c>
      <c r="E171">
        <v>184.78</v>
      </c>
      <c r="F171">
        <v>0.31</v>
      </c>
      <c r="G171">
        <v>0</v>
      </c>
      <c r="H171">
        <v>0</v>
      </c>
      <c r="I171">
        <v>0</v>
      </c>
      <c r="J171">
        <v>0</v>
      </c>
      <c r="K171">
        <v>0</v>
      </c>
      <c r="L171" s="1">
        <f t="shared" si="10"/>
        <v>7.0700617754656594E-2</v>
      </c>
      <c r="M171">
        <f t="shared" si="11"/>
        <v>1.25246979479098</v>
      </c>
    </row>
    <row r="172" spans="1:13">
      <c r="A172">
        <v>2008</v>
      </c>
      <c r="B172">
        <v>6</v>
      </c>
      <c r="C172">
        <v>19</v>
      </c>
      <c r="D172">
        <v>0</v>
      </c>
      <c r="E172">
        <v>180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s="1">
        <f t="shared" si="10"/>
        <v>0</v>
      </c>
      <c r="M172">
        <f t="shared" si="11"/>
        <v>1.2200701540338601</v>
      </c>
    </row>
    <row r="173" spans="1:13">
      <c r="A173">
        <v>2008</v>
      </c>
      <c r="B173">
        <v>6</v>
      </c>
      <c r="C173">
        <v>19</v>
      </c>
      <c r="D173">
        <v>1</v>
      </c>
      <c r="E173">
        <v>177.8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s="1">
        <f t="shared" si="10"/>
        <v>0</v>
      </c>
      <c r="M173">
        <f t="shared" si="11"/>
        <v>1.2051581854845499</v>
      </c>
    </row>
    <row r="174" spans="1:13">
      <c r="A174">
        <v>2008</v>
      </c>
      <c r="B174">
        <v>6</v>
      </c>
      <c r="C174">
        <v>19</v>
      </c>
      <c r="D174">
        <v>2</v>
      </c>
      <c r="E174">
        <v>175.8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s="1">
        <f t="shared" si="10"/>
        <v>0</v>
      </c>
      <c r="M174">
        <f t="shared" si="11"/>
        <v>1.1916018504397301</v>
      </c>
    </row>
    <row r="175" spans="1:13">
      <c r="A175">
        <v>2008</v>
      </c>
      <c r="B175">
        <v>6</v>
      </c>
      <c r="C175">
        <v>19</v>
      </c>
      <c r="D175">
        <v>3</v>
      </c>
      <c r="E175">
        <v>171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s="1">
        <f t="shared" si="10"/>
        <v>0</v>
      </c>
      <c r="M175">
        <f t="shared" si="11"/>
        <v>1.1590666463321599</v>
      </c>
    </row>
    <row r="176" spans="1:13">
      <c r="A176">
        <v>2008</v>
      </c>
      <c r="B176">
        <v>6</v>
      </c>
      <c r="C176">
        <v>19</v>
      </c>
      <c r="D176">
        <v>4</v>
      </c>
      <c r="E176">
        <v>161.53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s="1">
        <f t="shared" si="10"/>
        <v>0</v>
      </c>
      <c r="M176">
        <f t="shared" si="11"/>
        <v>1.0948773998949399</v>
      </c>
    </row>
    <row r="177" spans="1:13">
      <c r="A177">
        <v>2008</v>
      </c>
      <c r="B177">
        <v>6</v>
      </c>
      <c r="C177">
        <v>19</v>
      </c>
      <c r="D177">
        <v>5</v>
      </c>
      <c r="E177">
        <v>150.16</v>
      </c>
      <c r="F177">
        <v>0</v>
      </c>
      <c r="G177">
        <v>0.5</v>
      </c>
      <c r="H177">
        <v>0</v>
      </c>
      <c r="I177">
        <v>0</v>
      </c>
      <c r="J177">
        <v>0</v>
      </c>
      <c r="K177">
        <v>0</v>
      </c>
      <c r="L177" s="1">
        <f t="shared" si="10"/>
        <v>0.15063159341538701</v>
      </c>
      <c r="M177">
        <f t="shared" si="11"/>
        <v>1.01780963516513</v>
      </c>
    </row>
    <row r="178" spans="1:13">
      <c r="A178">
        <v>2008</v>
      </c>
      <c r="B178">
        <v>6</v>
      </c>
      <c r="C178">
        <v>19</v>
      </c>
      <c r="D178">
        <v>6</v>
      </c>
      <c r="E178">
        <v>140.82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f t="shared" si="10"/>
        <v>0</v>
      </c>
      <c r="M178">
        <f t="shared" si="11"/>
        <v>0.95450155050582097</v>
      </c>
    </row>
    <row r="179" spans="1:13">
      <c r="A179">
        <v>2008</v>
      </c>
      <c r="B179">
        <v>6</v>
      </c>
      <c r="C179">
        <v>19</v>
      </c>
      <c r="D179">
        <v>7</v>
      </c>
      <c r="E179">
        <v>137.46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s="1">
        <f t="shared" si="10"/>
        <v>0</v>
      </c>
      <c r="M179">
        <f t="shared" si="11"/>
        <v>0.93172690763052202</v>
      </c>
    </row>
    <row r="180" spans="1:13">
      <c r="A180">
        <v>2008</v>
      </c>
      <c r="B180">
        <v>6</v>
      </c>
      <c r="C180">
        <v>19</v>
      </c>
      <c r="D180">
        <v>8</v>
      </c>
      <c r="E180">
        <v>144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s="1">
        <f t="shared" si="10"/>
        <v>0</v>
      </c>
      <c r="M180">
        <f t="shared" si="11"/>
        <v>0.97605612322708601</v>
      </c>
    </row>
    <row r="181" spans="1:13">
      <c r="A181">
        <v>2008</v>
      </c>
      <c r="B181">
        <v>6</v>
      </c>
      <c r="C181">
        <v>19</v>
      </c>
      <c r="D181">
        <v>9</v>
      </c>
      <c r="E181">
        <v>161.13999999999999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f t="shared" si="10"/>
        <v>0</v>
      </c>
      <c r="M181">
        <f t="shared" si="11"/>
        <v>1.0922339145611999</v>
      </c>
    </row>
    <row r="182" spans="1:13">
      <c r="A182">
        <v>2008</v>
      </c>
      <c r="B182">
        <v>6</v>
      </c>
      <c r="C182">
        <v>19</v>
      </c>
      <c r="D182">
        <v>10</v>
      </c>
      <c r="E182">
        <v>176.64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f t="shared" si="10"/>
        <v>0</v>
      </c>
      <c r="M182">
        <f t="shared" si="11"/>
        <v>1.1972955111585599</v>
      </c>
    </row>
    <row r="183" spans="1:13">
      <c r="A183">
        <v>2008</v>
      </c>
      <c r="B183">
        <v>6</v>
      </c>
      <c r="C183">
        <v>19</v>
      </c>
      <c r="D183">
        <v>11</v>
      </c>
      <c r="E183">
        <v>175.02</v>
      </c>
      <c r="F183">
        <v>0.5</v>
      </c>
      <c r="G183">
        <v>0</v>
      </c>
      <c r="H183">
        <v>0</v>
      </c>
      <c r="I183">
        <v>0</v>
      </c>
      <c r="J183">
        <v>0</v>
      </c>
      <c r="K183">
        <v>0</v>
      </c>
      <c r="L183" s="1">
        <f t="shared" si="10"/>
        <v>0.114033254442995</v>
      </c>
      <c r="M183">
        <f t="shared" si="11"/>
        <v>1.18631487977225</v>
      </c>
    </row>
    <row r="184" spans="1:13">
      <c r="A184">
        <v>2008</v>
      </c>
      <c r="B184">
        <v>6</v>
      </c>
      <c r="C184">
        <v>19</v>
      </c>
      <c r="D184">
        <v>12</v>
      </c>
      <c r="E184">
        <v>140.81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s="1">
        <f t="shared" si="10"/>
        <v>0</v>
      </c>
      <c r="M184">
        <f t="shared" si="11"/>
        <v>0.95443376883059705</v>
      </c>
    </row>
    <row r="185" spans="1:13">
      <c r="A185">
        <v>2008</v>
      </c>
      <c r="B185">
        <v>6</v>
      </c>
      <c r="C185">
        <v>19</v>
      </c>
      <c r="D185">
        <v>13</v>
      </c>
      <c r="E185">
        <v>70.790000000000006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s="1">
        <f t="shared" si="10"/>
        <v>0</v>
      </c>
      <c r="M185">
        <f t="shared" si="11"/>
        <v>0.47982647891142599</v>
      </c>
    </row>
    <row r="186" spans="1:13">
      <c r="A186">
        <v>2008</v>
      </c>
      <c r="B186">
        <v>6</v>
      </c>
      <c r="C186">
        <v>19</v>
      </c>
      <c r="D186">
        <v>14</v>
      </c>
      <c r="E186">
        <v>36.01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s="1">
        <f t="shared" si="10"/>
        <v>0</v>
      </c>
      <c r="M186">
        <f t="shared" si="11"/>
        <v>0.24408181248199501</v>
      </c>
    </row>
    <row r="187" spans="1:13">
      <c r="A187">
        <v>2008</v>
      </c>
      <c r="B187">
        <v>6</v>
      </c>
      <c r="C187">
        <v>19</v>
      </c>
      <c r="D187">
        <v>15</v>
      </c>
      <c r="E187">
        <v>32.700000000000003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s="1">
        <f t="shared" si="10"/>
        <v>0</v>
      </c>
      <c r="M187">
        <f t="shared" si="11"/>
        <v>0.22164607798281699</v>
      </c>
    </row>
    <row r="191" spans="1:13">
      <c r="L191">
        <f>SUM(L4:L187)</f>
        <v>372.965920729331</v>
      </c>
      <c r="M191">
        <f>SUM(M4:M187)</f>
        <v>218.26004439699699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M138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2008</v>
      </c>
      <c r="B4">
        <v>6</v>
      </c>
      <c r="C4">
        <v>25</v>
      </c>
      <c r="D4">
        <v>14</v>
      </c>
      <c r="E4">
        <v>54.1</v>
      </c>
      <c r="F4">
        <v>0</v>
      </c>
      <c r="G4">
        <v>0.83</v>
      </c>
      <c r="H4">
        <v>0.5</v>
      </c>
      <c r="I4">
        <v>0</v>
      </c>
      <c r="J4">
        <v>0</v>
      </c>
      <c r="K4">
        <v>0</v>
      </c>
      <c r="L4" s="1">
        <f>F4*$F$2+G4*$G$2+H4*$H$2+I4*$I$2+J4*$J$2+K4*$K$2</f>
        <v>0.32753137256009501</v>
      </c>
      <c r="M4">
        <f>E4*3600/(1000*$L$1)</f>
        <v>0.36669886296239801</v>
      </c>
    </row>
    <row r="5" spans="1:13">
      <c r="A5">
        <v>2008</v>
      </c>
      <c r="B5">
        <v>6</v>
      </c>
      <c r="C5">
        <v>25</v>
      </c>
      <c r="D5">
        <v>15</v>
      </c>
      <c r="E5">
        <v>52.46</v>
      </c>
      <c r="F5">
        <v>0</v>
      </c>
      <c r="G5">
        <v>1.67</v>
      </c>
      <c r="H5">
        <v>8</v>
      </c>
      <c r="I5">
        <v>0.5</v>
      </c>
      <c r="J5">
        <v>0</v>
      </c>
      <c r="K5">
        <v>0</v>
      </c>
      <c r="L5" s="1">
        <f t="shared" ref="L5:L36" si="0">F5*$F$2+G5*$G$2+H5*$H$2+I5*$I$2+J5*$J$2+K5*$K$2</f>
        <v>1.8084264295814301</v>
      </c>
      <c r="M5">
        <f t="shared" ref="M5:M36" si="1">E5*3600/(1000*$L$1)</f>
        <v>0.35558266822564499</v>
      </c>
    </row>
    <row r="6" spans="1:13">
      <c r="A6">
        <v>2008</v>
      </c>
      <c r="B6">
        <v>6</v>
      </c>
      <c r="C6">
        <v>25</v>
      </c>
      <c r="D6">
        <v>16</v>
      </c>
      <c r="E6">
        <v>54.45</v>
      </c>
      <c r="F6">
        <v>2.5</v>
      </c>
      <c r="G6">
        <v>14</v>
      </c>
      <c r="H6">
        <v>11.5</v>
      </c>
      <c r="I6">
        <v>8.5</v>
      </c>
      <c r="J6">
        <v>9</v>
      </c>
      <c r="K6">
        <v>0</v>
      </c>
      <c r="L6" s="1">
        <f t="shared" si="0"/>
        <v>8.1195546367373002</v>
      </c>
      <c r="M6">
        <f t="shared" si="1"/>
        <v>0.36907122159524203</v>
      </c>
    </row>
    <row r="7" spans="1:13">
      <c r="A7">
        <v>2008</v>
      </c>
      <c r="B7">
        <v>6</v>
      </c>
      <c r="C7">
        <v>25</v>
      </c>
      <c r="D7">
        <v>17</v>
      </c>
      <c r="E7">
        <v>62.82</v>
      </c>
      <c r="F7">
        <v>9.5</v>
      </c>
      <c r="G7">
        <v>1.26</v>
      </c>
      <c r="H7">
        <v>1</v>
      </c>
      <c r="I7">
        <v>3</v>
      </c>
      <c r="J7">
        <v>4</v>
      </c>
      <c r="K7">
        <v>10.5</v>
      </c>
      <c r="L7" s="1">
        <f t="shared" si="0"/>
        <v>4.7183823150078101</v>
      </c>
      <c r="M7">
        <f t="shared" si="1"/>
        <v>0.42580448375781599</v>
      </c>
    </row>
    <row r="8" spans="1:13">
      <c r="A8">
        <v>2008</v>
      </c>
      <c r="B8">
        <v>6</v>
      </c>
      <c r="C8">
        <v>25</v>
      </c>
      <c r="D8">
        <v>18</v>
      </c>
      <c r="E8">
        <v>71</v>
      </c>
      <c r="F8">
        <v>0.5</v>
      </c>
      <c r="G8">
        <v>0.24</v>
      </c>
      <c r="H8">
        <v>0</v>
      </c>
      <c r="I8">
        <v>0.5</v>
      </c>
      <c r="J8">
        <v>0</v>
      </c>
      <c r="K8">
        <v>0.5</v>
      </c>
      <c r="L8" s="1">
        <f t="shared" si="0"/>
        <v>0.32004612919563902</v>
      </c>
      <c r="M8">
        <f t="shared" si="1"/>
        <v>0.481249894091132</v>
      </c>
    </row>
    <row r="9" spans="1:13">
      <c r="A9">
        <v>2008</v>
      </c>
      <c r="B9">
        <v>6</v>
      </c>
      <c r="C9">
        <v>25</v>
      </c>
      <c r="D9">
        <v>19</v>
      </c>
      <c r="E9">
        <v>72.709999999999994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1">
        <f t="shared" si="0"/>
        <v>0</v>
      </c>
      <c r="M9">
        <f t="shared" si="1"/>
        <v>0.49284056055445402</v>
      </c>
    </row>
    <row r="10" spans="1:13">
      <c r="A10">
        <v>2008</v>
      </c>
      <c r="B10">
        <v>6</v>
      </c>
      <c r="C10">
        <v>25</v>
      </c>
      <c r="D10">
        <v>20</v>
      </c>
      <c r="E10">
        <v>82.47</v>
      </c>
      <c r="F10">
        <v>1</v>
      </c>
      <c r="G10">
        <v>1.5</v>
      </c>
      <c r="H10">
        <v>1</v>
      </c>
      <c r="I10">
        <v>0</v>
      </c>
      <c r="J10">
        <v>0.5</v>
      </c>
      <c r="K10">
        <v>0.5</v>
      </c>
      <c r="L10" s="1">
        <f t="shared" si="0"/>
        <v>0.927189301039131</v>
      </c>
      <c r="M10">
        <f t="shared" si="1"/>
        <v>0.55899547557317897</v>
      </c>
    </row>
    <row r="11" spans="1:13">
      <c r="A11">
        <v>2008</v>
      </c>
      <c r="B11">
        <v>6</v>
      </c>
      <c r="C11">
        <v>25</v>
      </c>
      <c r="D11">
        <v>21</v>
      </c>
      <c r="E11">
        <v>92.71</v>
      </c>
      <c r="F11">
        <v>1.2</v>
      </c>
      <c r="G11">
        <v>1.46</v>
      </c>
      <c r="H11">
        <v>0.5</v>
      </c>
      <c r="I11">
        <v>0.5</v>
      </c>
      <c r="J11">
        <v>1.1100000000000001</v>
      </c>
      <c r="K11">
        <v>3.5</v>
      </c>
      <c r="L11" s="1">
        <f t="shared" si="0"/>
        <v>1.3870309366862701</v>
      </c>
      <c r="M11">
        <f t="shared" si="1"/>
        <v>0.62840391100266002</v>
      </c>
    </row>
    <row r="12" spans="1:13">
      <c r="A12">
        <v>2008</v>
      </c>
      <c r="B12">
        <v>6</v>
      </c>
      <c r="C12">
        <v>25</v>
      </c>
      <c r="D12">
        <v>22</v>
      </c>
      <c r="E12">
        <v>181</v>
      </c>
      <c r="F12">
        <v>1.8</v>
      </c>
      <c r="G12">
        <v>2.04</v>
      </c>
      <c r="H12">
        <v>6</v>
      </c>
      <c r="I12">
        <v>0</v>
      </c>
      <c r="J12">
        <v>1.89</v>
      </c>
      <c r="K12">
        <v>5.5</v>
      </c>
      <c r="L12" s="1">
        <f t="shared" si="0"/>
        <v>2.7954665167938502</v>
      </c>
      <c r="M12">
        <f t="shared" si="1"/>
        <v>1.22684832155627</v>
      </c>
    </row>
    <row r="13" spans="1:13">
      <c r="A13">
        <v>2008</v>
      </c>
      <c r="B13">
        <v>6</v>
      </c>
      <c r="C13">
        <v>25</v>
      </c>
      <c r="D13">
        <v>23</v>
      </c>
      <c r="E13">
        <v>127</v>
      </c>
      <c r="F13">
        <v>5.5</v>
      </c>
      <c r="G13">
        <v>14.5</v>
      </c>
      <c r="H13">
        <v>13</v>
      </c>
      <c r="I13">
        <v>9</v>
      </c>
      <c r="J13">
        <v>5</v>
      </c>
      <c r="K13">
        <v>3</v>
      </c>
      <c r="L13" s="1">
        <f t="shared" si="0"/>
        <v>9.4680023422334507</v>
      </c>
      <c r="M13">
        <f t="shared" si="1"/>
        <v>0.86082727534611003</v>
      </c>
    </row>
    <row r="14" spans="1:13">
      <c r="A14">
        <v>2008</v>
      </c>
      <c r="B14">
        <v>6</v>
      </c>
      <c r="C14">
        <v>26</v>
      </c>
      <c r="D14">
        <v>0</v>
      </c>
      <c r="E14">
        <v>83.2</v>
      </c>
      <c r="F14">
        <v>0</v>
      </c>
      <c r="G14">
        <v>10</v>
      </c>
      <c r="H14">
        <v>9</v>
      </c>
      <c r="I14">
        <v>9.5</v>
      </c>
      <c r="J14">
        <v>7</v>
      </c>
      <c r="K14">
        <v>10</v>
      </c>
      <c r="L14" s="1">
        <f t="shared" si="0"/>
        <v>7.35392390000698</v>
      </c>
      <c r="M14">
        <f t="shared" si="1"/>
        <v>0.56394353786453799</v>
      </c>
    </row>
    <row r="15" spans="1:13">
      <c r="A15">
        <v>2008</v>
      </c>
      <c r="B15">
        <v>6</v>
      </c>
      <c r="C15">
        <v>26</v>
      </c>
      <c r="D15">
        <v>1</v>
      </c>
      <c r="E15">
        <v>91.19</v>
      </c>
      <c r="F15">
        <v>4</v>
      </c>
      <c r="G15">
        <v>8.5</v>
      </c>
      <c r="H15">
        <v>10</v>
      </c>
      <c r="I15">
        <v>7</v>
      </c>
      <c r="J15">
        <v>6.5</v>
      </c>
      <c r="K15">
        <v>4</v>
      </c>
      <c r="L15" s="1">
        <f t="shared" si="0"/>
        <v>6.7997324506653003</v>
      </c>
      <c r="M15">
        <f t="shared" si="1"/>
        <v>0.618101096368597</v>
      </c>
    </row>
    <row r="16" spans="1:13">
      <c r="A16">
        <v>2008</v>
      </c>
      <c r="B16">
        <v>6</v>
      </c>
      <c r="C16">
        <v>26</v>
      </c>
      <c r="D16">
        <v>2</v>
      </c>
      <c r="E16">
        <v>103</v>
      </c>
      <c r="F16">
        <v>4</v>
      </c>
      <c r="G16">
        <v>5</v>
      </c>
      <c r="H16">
        <v>5</v>
      </c>
      <c r="I16">
        <v>7</v>
      </c>
      <c r="J16">
        <v>2.5</v>
      </c>
      <c r="K16">
        <v>3.5</v>
      </c>
      <c r="L16" s="1">
        <f t="shared" si="0"/>
        <v>4.70922226176154</v>
      </c>
      <c r="M16">
        <f t="shared" si="1"/>
        <v>0.69815125480826301</v>
      </c>
    </row>
    <row r="17" spans="1:13">
      <c r="A17">
        <v>2008</v>
      </c>
      <c r="B17">
        <v>6</v>
      </c>
      <c r="C17">
        <v>26</v>
      </c>
      <c r="D17">
        <v>3</v>
      </c>
      <c r="E17">
        <v>118.12</v>
      </c>
      <c r="F17">
        <v>4</v>
      </c>
      <c r="G17">
        <v>4.5</v>
      </c>
      <c r="H17">
        <v>9</v>
      </c>
      <c r="I17">
        <v>6.5</v>
      </c>
      <c r="J17">
        <v>7</v>
      </c>
      <c r="K17">
        <v>3.5</v>
      </c>
      <c r="L17" s="1">
        <f t="shared" si="0"/>
        <v>5.3301466531856496</v>
      </c>
      <c r="M17">
        <f t="shared" si="1"/>
        <v>0.80063714774710704</v>
      </c>
    </row>
    <row r="18" spans="1:13">
      <c r="A18">
        <v>2008</v>
      </c>
      <c r="B18">
        <v>6</v>
      </c>
      <c r="C18">
        <v>26</v>
      </c>
      <c r="D18">
        <v>4</v>
      </c>
      <c r="E18">
        <v>134.56</v>
      </c>
      <c r="F18">
        <v>10.5</v>
      </c>
      <c r="G18">
        <v>6</v>
      </c>
      <c r="H18">
        <v>9</v>
      </c>
      <c r="I18">
        <v>7.5</v>
      </c>
      <c r="J18">
        <v>6.5</v>
      </c>
      <c r="K18">
        <v>3.5</v>
      </c>
      <c r="L18" s="1">
        <f t="shared" si="0"/>
        <v>7.3715113619033099</v>
      </c>
      <c r="M18">
        <f t="shared" si="1"/>
        <v>0.91207022181553199</v>
      </c>
    </row>
    <row r="19" spans="1:13">
      <c r="A19">
        <v>2008</v>
      </c>
      <c r="B19">
        <v>6</v>
      </c>
      <c r="C19">
        <v>26</v>
      </c>
      <c r="D19">
        <v>5</v>
      </c>
      <c r="E19">
        <v>150</v>
      </c>
      <c r="F19">
        <v>17</v>
      </c>
      <c r="G19">
        <v>3</v>
      </c>
      <c r="H19">
        <v>5</v>
      </c>
      <c r="I19">
        <v>5</v>
      </c>
      <c r="J19">
        <v>3.5</v>
      </c>
      <c r="K19">
        <v>3</v>
      </c>
      <c r="L19" s="1">
        <f t="shared" si="0"/>
        <v>6.78936562000463</v>
      </c>
      <c r="M19">
        <f t="shared" si="1"/>
        <v>1.0167251283615499</v>
      </c>
    </row>
    <row r="20" spans="1:13">
      <c r="A20">
        <v>2008</v>
      </c>
      <c r="B20">
        <v>6</v>
      </c>
      <c r="C20">
        <v>26</v>
      </c>
      <c r="D20">
        <v>6</v>
      </c>
      <c r="E20">
        <v>163.09</v>
      </c>
      <c r="F20">
        <v>14.5</v>
      </c>
      <c r="G20">
        <v>5.5</v>
      </c>
      <c r="H20">
        <v>8.5</v>
      </c>
      <c r="I20">
        <v>6</v>
      </c>
      <c r="J20">
        <v>5.5</v>
      </c>
      <c r="K20">
        <v>3.5</v>
      </c>
      <c r="L20" s="1">
        <f t="shared" si="0"/>
        <v>7.8106076438901404</v>
      </c>
      <c r="M20">
        <f t="shared" si="1"/>
        <v>1.1054513412299001</v>
      </c>
    </row>
    <row r="21" spans="1:13">
      <c r="A21">
        <v>2008</v>
      </c>
      <c r="B21">
        <v>6</v>
      </c>
      <c r="C21">
        <v>26</v>
      </c>
      <c r="D21">
        <v>7</v>
      </c>
      <c r="E21">
        <v>176.52</v>
      </c>
      <c r="F21">
        <v>11</v>
      </c>
      <c r="G21">
        <v>4</v>
      </c>
      <c r="H21">
        <v>7.5</v>
      </c>
      <c r="I21">
        <v>6</v>
      </c>
      <c r="J21">
        <v>5</v>
      </c>
      <c r="K21">
        <v>4</v>
      </c>
      <c r="L21" s="1">
        <f t="shared" si="0"/>
        <v>6.44949135501217</v>
      </c>
      <c r="M21">
        <f t="shared" si="1"/>
        <v>1.19648213105587</v>
      </c>
    </row>
    <row r="22" spans="1:13">
      <c r="A22">
        <v>2008</v>
      </c>
      <c r="B22">
        <v>6</v>
      </c>
      <c r="C22">
        <v>26</v>
      </c>
      <c r="D22">
        <v>8</v>
      </c>
      <c r="E22">
        <v>194</v>
      </c>
      <c r="F22">
        <v>1</v>
      </c>
      <c r="G22">
        <v>2.5</v>
      </c>
      <c r="H22">
        <v>2.5</v>
      </c>
      <c r="I22">
        <v>5.5</v>
      </c>
      <c r="J22">
        <v>3</v>
      </c>
      <c r="K22">
        <v>1</v>
      </c>
      <c r="L22" s="1">
        <f t="shared" si="0"/>
        <v>2.3712242311957601</v>
      </c>
      <c r="M22">
        <f t="shared" si="1"/>
        <v>1.3149644993476</v>
      </c>
    </row>
    <row r="23" spans="1:13">
      <c r="A23">
        <v>2008</v>
      </c>
      <c r="B23">
        <v>6</v>
      </c>
      <c r="C23">
        <v>26</v>
      </c>
      <c r="D23">
        <v>9</v>
      </c>
      <c r="E23">
        <v>216.93</v>
      </c>
      <c r="F23">
        <v>5</v>
      </c>
      <c r="G23">
        <v>1.33</v>
      </c>
      <c r="H23">
        <v>1.31</v>
      </c>
      <c r="I23">
        <v>0</v>
      </c>
      <c r="J23">
        <v>0.89</v>
      </c>
      <c r="K23">
        <v>0.89</v>
      </c>
      <c r="L23" s="1">
        <f t="shared" si="0"/>
        <v>1.90824449226818</v>
      </c>
      <c r="M23">
        <f t="shared" si="1"/>
        <v>1.4703878806364701</v>
      </c>
    </row>
    <row r="24" spans="1:13">
      <c r="A24">
        <v>2008</v>
      </c>
      <c r="B24">
        <v>6</v>
      </c>
      <c r="C24">
        <v>26</v>
      </c>
      <c r="D24">
        <v>10</v>
      </c>
      <c r="E24">
        <v>237.6</v>
      </c>
      <c r="F24">
        <v>6</v>
      </c>
      <c r="G24">
        <v>1.67</v>
      </c>
      <c r="H24">
        <v>1.77</v>
      </c>
      <c r="I24">
        <v>2</v>
      </c>
      <c r="J24">
        <v>0.83</v>
      </c>
      <c r="K24">
        <v>1.33</v>
      </c>
      <c r="L24" s="1">
        <f t="shared" si="0"/>
        <v>2.6294332322256699</v>
      </c>
      <c r="M24">
        <f t="shared" si="1"/>
        <v>1.61049260332469</v>
      </c>
    </row>
    <row r="25" spans="1:13">
      <c r="A25">
        <v>2008</v>
      </c>
      <c r="B25">
        <v>6</v>
      </c>
      <c r="C25">
        <v>26</v>
      </c>
      <c r="D25">
        <v>11</v>
      </c>
      <c r="E25">
        <v>246</v>
      </c>
      <c r="F25">
        <v>11.5</v>
      </c>
      <c r="G25">
        <v>2</v>
      </c>
      <c r="H25">
        <v>2.23</v>
      </c>
      <c r="I25">
        <v>3</v>
      </c>
      <c r="J25">
        <v>0.78</v>
      </c>
      <c r="K25">
        <v>1.78</v>
      </c>
      <c r="L25" s="1">
        <f t="shared" si="0"/>
        <v>4.2445737379899304</v>
      </c>
      <c r="M25">
        <f t="shared" si="1"/>
        <v>1.66742921051294</v>
      </c>
    </row>
    <row r="26" spans="1:13">
      <c r="A26">
        <v>2008</v>
      </c>
      <c r="B26">
        <v>6</v>
      </c>
      <c r="C26">
        <v>26</v>
      </c>
      <c r="D26">
        <v>12</v>
      </c>
      <c r="E26">
        <v>237.75</v>
      </c>
      <c r="F26">
        <v>16</v>
      </c>
      <c r="G26">
        <v>8.5</v>
      </c>
      <c r="H26">
        <v>2.69</v>
      </c>
      <c r="I26">
        <v>7.5</v>
      </c>
      <c r="J26">
        <v>6.5</v>
      </c>
      <c r="K26">
        <v>4.5</v>
      </c>
      <c r="L26" s="1">
        <f t="shared" si="0"/>
        <v>8.5374398672985397</v>
      </c>
      <c r="M26">
        <f t="shared" si="1"/>
        <v>1.6115093284530499</v>
      </c>
    </row>
    <row r="27" spans="1:13">
      <c r="A27">
        <v>2008</v>
      </c>
      <c r="B27">
        <v>6</v>
      </c>
      <c r="C27">
        <v>26</v>
      </c>
      <c r="D27">
        <v>13</v>
      </c>
      <c r="E27">
        <v>231</v>
      </c>
      <c r="F27">
        <v>13.5</v>
      </c>
      <c r="G27">
        <v>9</v>
      </c>
      <c r="H27">
        <v>6</v>
      </c>
      <c r="I27">
        <v>13.5</v>
      </c>
      <c r="J27">
        <v>10.5</v>
      </c>
      <c r="K27">
        <v>11.5</v>
      </c>
      <c r="L27" s="1">
        <f t="shared" si="0"/>
        <v>10.5647380897241</v>
      </c>
      <c r="M27">
        <f t="shared" si="1"/>
        <v>1.5657566976767801</v>
      </c>
    </row>
    <row r="28" spans="1:13">
      <c r="A28">
        <v>2008</v>
      </c>
      <c r="B28">
        <v>6</v>
      </c>
      <c r="C28">
        <v>26</v>
      </c>
      <c r="D28">
        <v>14</v>
      </c>
      <c r="E28">
        <v>241.52</v>
      </c>
      <c r="F28">
        <v>10.5</v>
      </c>
      <c r="G28">
        <v>5</v>
      </c>
      <c r="H28">
        <v>7</v>
      </c>
      <c r="I28">
        <v>3</v>
      </c>
      <c r="J28">
        <v>6.5</v>
      </c>
      <c r="K28">
        <v>14</v>
      </c>
      <c r="L28" s="1">
        <f t="shared" si="0"/>
        <v>7.6005183415330402</v>
      </c>
      <c r="M28">
        <f t="shared" si="1"/>
        <v>1.63706302001254</v>
      </c>
    </row>
    <row r="29" spans="1:13">
      <c r="A29">
        <v>2008</v>
      </c>
      <c r="B29">
        <v>6</v>
      </c>
      <c r="C29">
        <v>26</v>
      </c>
      <c r="D29">
        <v>15</v>
      </c>
      <c r="E29">
        <v>266</v>
      </c>
      <c r="F29">
        <v>13.5</v>
      </c>
      <c r="G29">
        <v>28</v>
      </c>
      <c r="H29">
        <v>24.5</v>
      </c>
      <c r="I29">
        <v>26</v>
      </c>
      <c r="J29">
        <v>17.5</v>
      </c>
      <c r="K29">
        <v>3.5</v>
      </c>
      <c r="L29" s="1">
        <f t="shared" si="0"/>
        <v>20.0434395811093</v>
      </c>
      <c r="M29">
        <f t="shared" si="1"/>
        <v>1.8029925609611399</v>
      </c>
    </row>
    <row r="30" spans="1:13">
      <c r="A30">
        <v>2008</v>
      </c>
      <c r="B30">
        <v>6</v>
      </c>
      <c r="C30">
        <v>26</v>
      </c>
      <c r="D30">
        <v>16</v>
      </c>
      <c r="E30">
        <v>374</v>
      </c>
      <c r="F30">
        <v>5.5</v>
      </c>
      <c r="G30">
        <v>3</v>
      </c>
      <c r="H30">
        <v>12.5</v>
      </c>
      <c r="I30">
        <v>11</v>
      </c>
      <c r="J30">
        <v>19.5</v>
      </c>
      <c r="K30">
        <v>6</v>
      </c>
      <c r="L30" s="1">
        <f t="shared" si="0"/>
        <v>7.2972038176145801</v>
      </c>
      <c r="M30">
        <f t="shared" si="1"/>
        <v>2.5350346533814601</v>
      </c>
    </row>
    <row r="31" spans="1:13">
      <c r="A31">
        <v>2008</v>
      </c>
      <c r="B31">
        <v>6</v>
      </c>
      <c r="C31">
        <v>26</v>
      </c>
      <c r="D31">
        <v>17</v>
      </c>
      <c r="E31">
        <v>502</v>
      </c>
      <c r="F31">
        <v>0</v>
      </c>
      <c r="G31">
        <v>1.5</v>
      </c>
      <c r="H31">
        <v>4.5</v>
      </c>
      <c r="I31">
        <v>3</v>
      </c>
      <c r="J31">
        <v>11.5</v>
      </c>
      <c r="K31">
        <v>6</v>
      </c>
      <c r="L31" s="1">
        <f t="shared" si="0"/>
        <v>2.9154950792386698</v>
      </c>
      <c r="M31">
        <f t="shared" si="1"/>
        <v>3.4026400962499799</v>
      </c>
    </row>
    <row r="32" spans="1:13">
      <c r="A32">
        <v>2008</v>
      </c>
      <c r="B32">
        <v>6</v>
      </c>
      <c r="C32">
        <v>26</v>
      </c>
      <c r="D32">
        <v>18</v>
      </c>
      <c r="E32">
        <v>555</v>
      </c>
      <c r="F32">
        <v>0.67</v>
      </c>
      <c r="G32">
        <v>7.5</v>
      </c>
      <c r="H32">
        <v>13</v>
      </c>
      <c r="I32">
        <v>1</v>
      </c>
      <c r="J32">
        <v>2</v>
      </c>
      <c r="K32">
        <v>3.5</v>
      </c>
      <c r="L32" s="1">
        <f t="shared" si="0"/>
        <v>5.1314222666568803</v>
      </c>
      <c r="M32">
        <f t="shared" si="1"/>
        <v>3.7618829749377301</v>
      </c>
    </row>
    <row r="33" spans="1:13">
      <c r="A33">
        <v>2008</v>
      </c>
      <c r="B33">
        <v>6</v>
      </c>
      <c r="C33">
        <v>26</v>
      </c>
      <c r="D33">
        <v>19</v>
      </c>
      <c r="E33">
        <v>582.66999999999996</v>
      </c>
      <c r="F33">
        <v>1.33</v>
      </c>
      <c r="G33">
        <v>14</v>
      </c>
      <c r="H33">
        <v>0</v>
      </c>
      <c r="I33">
        <v>7</v>
      </c>
      <c r="J33">
        <v>3</v>
      </c>
      <c r="K33">
        <v>1</v>
      </c>
      <c r="L33" s="1">
        <f t="shared" si="0"/>
        <v>5.7203683934048497</v>
      </c>
      <c r="M33">
        <f t="shared" si="1"/>
        <v>3.9494348702828201</v>
      </c>
    </row>
    <row r="34" spans="1:13">
      <c r="A34">
        <v>2008</v>
      </c>
      <c r="B34">
        <v>6</v>
      </c>
      <c r="C34">
        <v>26</v>
      </c>
      <c r="D34">
        <v>20</v>
      </c>
      <c r="E34">
        <v>598</v>
      </c>
      <c r="F34">
        <v>17</v>
      </c>
      <c r="G34">
        <v>10</v>
      </c>
      <c r="H34">
        <v>12</v>
      </c>
      <c r="I34">
        <v>10</v>
      </c>
      <c r="J34">
        <v>3.5</v>
      </c>
      <c r="K34">
        <v>4</v>
      </c>
      <c r="L34" s="1">
        <f t="shared" si="0"/>
        <v>10.7751088743158</v>
      </c>
      <c r="M34">
        <f t="shared" si="1"/>
        <v>4.0533441784013702</v>
      </c>
    </row>
    <row r="35" spans="1:13">
      <c r="A35">
        <v>2008</v>
      </c>
      <c r="B35">
        <v>6</v>
      </c>
      <c r="C35">
        <v>26</v>
      </c>
      <c r="D35">
        <v>21</v>
      </c>
      <c r="E35">
        <v>613</v>
      </c>
      <c r="F35">
        <v>25</v>
      </c>
      <c r="G35">
        <v>18</v>
      </c>
      <c r="H35">
        <v>13.5</v>
      </c>
      <c r="I35">
        <v>19.5</v>
      </c>
      <c r="J35">
        <v>16.5</v>
      </c>
      <c r="K35">
        <v>7.5</v>
      </c>
      <c r="L35" s="1">
        <f t="shared" si="0"/>
        <v>17.592949387799699</v>
      </c>
      <c r="M35">
        <f t="shared" si="1"/>
        <v>4.1550166912375204</v>
      </c>
    </row>
    <row r="36" spans="1:13">
      <c r="A36">
        <v>2008</v>
      </c>
      <c r="B36">
        <v>6</v>
      </c>
      <c r="C36">
        <v>26</v>
      </c>
      <c r="D36">
        <v>22</v>
      </c>
      <c r="E36">
        <v>680</v>
      </c>
      <c r="F36">
        <v>21.5</v>
      </c>
      <c r="G36">
        <v>24</v>
      </c>
      <c r="H36">
        <v>15.5</v>
      </c>
      <c r="I36">
        <v>32.5</v>
      </c>
      <c r="J36">
        <v>22.5</v>
      </c>
      <c r="K36">
        <v>19.5</v>
      </c>
      <c r="L36" s="1">
        <f t="shared" si="0"/>
        <v>22.542150787867801</v>
      </c>
      <c r="M36">
        <f t="shared" si="1"/>
        <v>4.6091539152390197</v>
      </c>
    </row>
    <row r="37" spans="1:13">
      <c r="A37">
        <v>2008</v>
      </c>
      <c r="B37">
        <v>6</v>
      </c>
      <c r="C37">
        <v>26</v>
      </c>
      <c r="D37">
        <v>23</v>
      </c>
      <c r="E37">
        <v>755.99</v>
      </c>
      <c r="F37">
        <v>0</v>
      </c>
      <c r="G37">
        <v>24</v>
      </c>
      <c r="H37">
        <v>21.5</v>
      </c>
      <c r="I37">
        <v>17.5</v>
      </c>
      <c r="J37">
        <v>19</v>
      </c>
      <c r="K37">
        <v>12.5</v>
      </c>
      <c r="L37" s="1">
        <f t="shared" ref="L37:L68" si="2">F37*$F$2+G37*$G$2+H37*$H$2+I37*$I$2+J37*$J$2+K37*$K$2</f>
        <v>15.4781413511524</v>
      </c>
      <c r="M37">
        <f t="shared" ref="M37:M68" si="3">E37*3600/(1000*$L$1)</f>
        <v>5.1242268652669702</v>
      </c>
    </row>
    <row r="38" spans="1:13">
      <c r="A38">
        <v>2008</v>
      </c>
      <c r="B38">
        <v>6</v>
      </c>
      <c r="C38">
        <v>27</v>
      </c>
      <c r="D38">
        <v>0</v>
      </c>
      <c r="E38">
        <v>869</v>
      </c>
      <c r="F38">
        <v>3</v>
      </c>
      <c r="G38">
        <v>20</v>
      </c>
      <c r="H38">
        <v>18</v>
      </c>
      <c r="I38">
        <v>27</v>
      </c>
      <c r="J38">
        <v>25.5</v>
      </c>
      <c r="K38">
        <v>18</v>
      </c>
      <c r="L38" s="1">
        <f t="shared" si="2"/>
        <v>16.724287680492299</v>
      </c>
      <c r="M38">
        <f t="shared" si="3"/>
        <v>5.8902275769745698</v>
      </c>
    </row>
    <row r="39" spans="1:13">
      <c r="A39">
        <v>2008</v>
      </c>
      <c r="B39">
        <v>6</v>
      </c>
      <c r="C39">
        <v>27</v>
      </c>
      <c r="D39">
        <v>1</v>
      </c>
      <c r="E39">
        <v>1040</v>
      </c>
      <c r="F39">
        <v>43</v>
      </c>
      <c r="G39">
        <v>21</v>
      </c>
      <c r="H39">
        <v>11.5</v>
      </c>
      <c r="I39">
        <v>27.5</v>
      </c>
      <c r="J39">
        <v>29</v>
      </c>
      <c r="K39">
        <v>14.5</v>
      </c>
      <c r="L39" s="1">
        <f t="shared" si="2"/>
        <v>24.898683340958801</v>
      </c>
      <c r="M39">
        <f t="shared" si="3"/>
        <v>7.0492942233067302</v>
      </c>
    </row>
    <row r="40" spans="1:13">
      <c r="A40">
        <v>2008</v>
      </c>
      <c r="B40">
        <v>6</v>
      </c>
      <c r="C40">
        <v>27</v>
      </c>
      <c r="D40">
        <v>2</v>
      </c>
      <c r="E40">
        <v>1270</v>
      </c>
      <c r="F40">
        <v>52</v>
      </c>
      <c r="G40">
        <v>13.5</v>
      </c>
      <c r="H40">
        <v>12.5</v>
      </c>
      <c r="I40">
        <v>38</v>
      </c>
      <c r="J40">
        <v>63.5</v>
      </c>
      <c r="K40">
        <v>34.5</v>
      </c>
      <c r="L40" s="1">
        <f t="shared" si="2"/>
        <v>30.614784501343401</v>
      </c>
      <c r="M40">
        <f t="shared" si="3"/>
        <v>8.6082727534610992</v>
      </c>
    </row>
    <row r="41" spans="1:13">
      <c r="A41">
        <v>2008</v>
      </c>
      <c r="B41">
        <v>6</v>
      </c>
      <c r="C41">
        <v>27</v>
      </c>
      <c r="D41">
        <v>3</v>
      </c>
      <c r="E41">
        <v>1547.86</v>
      </c>
      <c r="F41">
        <v>15</v>
      </c>
      <c r="G41">
        <v>6.5</v>
      </c>
      <c r="H41">
        <v>7</v>
      </c>
      <c r="I41">
        <v>12.5</v>
      </c>
      <c r="J41">
        <v>18</v>
      </c>
      <c r="K41">
        <v>15</v>
      </c>
      <c r="L41" s="1">
        <f t="shared" si="2"/>
        <v>11.0164408218905</v>
      </c>
      <c r="M41">
        <f t="shared" si="3"/>
        <v>10.491654381238</v>
      </c>
    </row>
    <row r="42" spans="1:13">
      <c r="A42">
        <v>2008</v>
      </c>
      <c r="B42">
        <v>6</v>
      </c>
      <c r="C42">
        <v>27</v>
      </c>
      <c r="D42">
        <v>4</v>
      </c>
      <c r="E42">
        <v>1478.79</v>
      </c>
      <c r="F42">
        <v>1.62</v>
      </c>
      <c r="G42">
        <v>0.95</v>
      </c>
      <c r="H42">
        <v>0</v>
      </c>
      <c r="I42">
        <v>2</v>
      </c>
      <c r="J42">
        <v>6.5</v>
      </c>
      <c r="K42">
        <v>7</v>
      </c>
      <c r="L42" s="1">
        <f t="shared" si="2"/>
        <v>2.1855557250097499</v>
      </c>
      <c r="M42">
        <f t="shared" si="3"/>
        <v>10.0234863504652</v>
      </c>
    </row>
    <row r="43" spans="1:13">
      <c r="A43">
        <v>2008</v>
      </c>
      <c r="B43">
        <v>6</v>
      </c>
      <c r="C43">
        <v>27</v>
      </c>
      <c r="D43">
        <v>5</v>
      </c>
      <c r="E43">
        <v>1436.13</v>
      </c>
      <c r="F43">
        <v>0.38</v>
      </c>
      <c r="G43">
        <v>0.67</v>
      </c>
      <c r="H43">
        <v>0.14000000000000001</v>
      </c>
      <c r="I43">
        <v>0</v>
      </c>
      <c r="J43">
        <v>1</v>
      </c>
      <c r="K43">
        <v>0</v>
      </c>
      <c r="L43" s="1">
        <f t="shared" si="2"/>
        <v>0.35849185772626402</v>
      </c>
      <c r="M43">
        <f t="shared" si="3"/>
        <v>9.7343297239591298</v>
      </c>
    </row>
    <row r="44" spans="1:13">
      <c r="A44">
        <v>2008</v>
      </c>
      <c r="B44">
        <v>6</v>
      </c>
      <c r="C44">
        <v>27</v>
      </c>
      <c r="D44">
        <v>6</v>
      </c>
      <c r="E44">
        <v>1450</v>
      </c>
      <c r="F44">
        <v>3.5</v>
      </c>
      <c r="G44">
        <v>0.38</v>
      </c>
      <c r="H44">
        <v>0.28000000000000003</v>
      </c>
      <c r="I44">
        <v>3.5</v>
      </c>
      <c r="J44">
        <v>3.5</v>
      </c>
      <c r="K44">
        <v>0</v>
      </c>
      <c r="L44" s="1">
        <f t="shared" si="2"/>
        <v>1.5842313087323501</v>
      </c>
      <c r="M44">
        <f t="shared" si="3"/>
        <v>9.8283429074949602</v>
      </c>
    </row>
    <row r="45" spans="1:13">
      <c r="A45">
        <v>2008</v>
      </c>
      <c r="B45">
        <v>6</v>
      </c>
      <c r="C45">
        <v>27</v>
      </c>
      <c r="D45">
        <v>7</v>
      </c>
      <c r="E45">
        <v>1380</v>
      </c>
      <c r="F45">
        <v>0.69</v>
      </c>
      <c r="G45">
        <v>3</v>
      </c>
      <c r="H45">
        <v>0.41</v>
      </c>
      <c r="I45">
        <v>1</v>
      </c>
      <c r="J45">
        <v>0</v>
      </c>
      <c r="K45">
        <v>0</v>
      </c>
      <c r="L45" s="1">
        <f t="shared" si="2"/>
        <v>1.25587158761629</v>
      </c>
      <c r="M45">
        <f t="shared" si="3"/>
        <v>9.3538711809262391</v>
      </c>
    </row>
    <row r="46" spans="1:13">
      <c r="A46">
        <v>2008</v>
      </c>
      <c r="B46">
        <v>6</v>
      </c>
      <c r="C46">
        <v>27</v>
      </c>
      <c r="D46">
        <v>8</v>
      </c>
      <c r="E46">
        <v>1260</v>
      </c>
      <c r="F46">
        <v>0.31</v>
      </c>
      <c r="G46">
        <v>6</v>
      </c>
      <c r="H46">
        <v>0.55000000000000004</v>
      </c>
      <c r="I46">
        <v>5.5</v>
      </c>
      <c r="J46">
        <v>0.5</v>
      </c>
      <c r="K46">
        <v>0</v>
      </c>
      <c r="L46" s="1">
        <f t="shared" si="2"/>
        <v>2.7091442186938099</v>
      </c>
      <c r="M46">
        <f t="shared" si="3"/>
        <v>8.5404910782370003</v>
      </c>
    </row>
    <row r="47" spans="1:13">
      <c r="A47">
        <v>2008</v>
      </c>
      <c r="B47">
        <v>6</v>
      </c>
      <c r="C47">
        <v>27</v>
      </c>
      <c r="D47">
        <v>9</v>
      </c>
      <c r="E47">
        <v>1050</v>
      </c>
      <c r="F47">
        <v>1</v>
      </c>
      <c r="G47">
        <v>0</v>
      </c>
      <c r="H47">
        <v>0.69</v>
      </c>
      <c r="I47">
        <v>0.5</v>
      </c>
      <c r="J47">
        <v>0.5</v>
      </c>
      <c r="K47">
        <v>1.17</v>
      </c>
      <c r="L47" s="1">
        <f t="shared" si="2"/>
        <v>0.58412549400602898</v>
      </c>
      <c r="M47">
        <f t="shared" si="3"/>
        <v>7.11707589853083</v>
      </c>
    </row>
    <row r="48" spans="1:13">
      <c r="A48">
        <v>2008</v>
      </c>
      <c r="B48">
        <v>6</v>
      </c>
      <c r="C48">
        <v>27</v>
      </c>
      <c r="D48">
        <v>10</v>
      </c>
      <c r="E48">
        <v>826</v>
      </c>
      <c r="F48">
        <v>0</v>
      </c>
      <c r="G48">
        <v>0</v>
      </c>
      <c r="H48">
        <v>0.83</v>
      </c>
      <c r="I48">
        <v>0</v>
      </c>
      <c r="J48">
        <v>0</v>
      </c>
      <c r="K48">
        <v>2.33</v>
      </c>
      <c r="L48" s="1">
        <f t="shared" si="2"/>
        <v>0.446059192230715</v>
      </c>
      <c r="M48">
        <f t="shared" si="3"/>
        <v>5.5987663735109203</v>
      </c>
    </row>
    <row r="49" spans="1:13">
      <c r="A49">
        <v>2008</v>
      </c>
      <c r="B49">
        <v>6</v>
      </c>
      <c r="C49">
        <v>27</v>
      </c>
      <c r="D49">
        <v>11</v>
      </c>
      <c r="E49">
        <v>673</v>
      </c>
      <c r="F49">
        <v>0</v>
      </c>
      <c r="G49">
        <v>0</v>
      </c>
      <c r="H49">
        <v>0.96</v>
      </c>
      <c r="I49">
        <v>0</v>
      </c>
      <c r="J49">
        <v>0</v>
      </c>
      <c r="K49">
        <v>0</v>
      </c>
      <c r="L49" s="1">
        <f t="shared" si="2"/>
        <v>0.148767220781862</v>
      </c>
      <c r="M49">
        <f t="shared" si="3"/>
        <v>4.5617067425821398</v>
      </c>
    </row>
    <row r="50" spans="1:13">
      <c r="A50">
        <v>2008</v>
      </c>
      <c r="B50">
        <v>6</v>
      </c>
      <c r="C50">
        <v>27</v>
      </c>
      <c r="D50">
        <v>12</v>
      </c>
      <c r="E50">
        <v>560.35</v>
      </c>
      <c r="F50">
        <v>0.5</v>
      </c>
      <c r="G50">
        <v>0</v>
      </c>
      <c r="H50">
        <v>1.1000000000000001</v>
      </c>
      <c r="I50">
        <v>0</v>
      </c>
      <c r="J50">
        <v>0</v>
      </c>
      <c r="K50">
        <v>0</v>
      </c>
      <c r="L50" s="1">
        <f t="shared" si="2"/>
        <v>0.284495694922211</v>
      </c>
      <c r="M50">
        <f t="shared" si="3"/>
        <v>3.7981461711826201</v>
      </c>
    </row>
    <row r="51" spans="1:13">
      <c r="A51">
        <v>2008</v>
      </c>
      <c r="B51">
        <v>6</v>
      </c>
      <c r="C51">
        <v>27</v>
      </c>
      <c r="D51">
        <v>13</v>
      </c>
      <c r="E51">
        <v>502</v>
      </c>
      <c r="F51">
        <v>0</v>
      </c>
      <c r="G51">
        <v>0</v>
      </c>
      <c r="H51">
        <v>1.24</v>
      </c>
      <c r="I51">
        <v>0</v>
      </c>
      <c r="J51">
        <v>0</v>
      </c>
      <c r="K51">
        <v>0</v>
      </c>
      <c r="L51" s="1">
        <f t="shared" si="2"/>
        <v>0.19215766017657099</v>
      </c>
      <c r="M51">
        <f t="shared" si="3"/>
        <v>3.4026400962499799</v>
      </c>
    </row>
    <row r="52" spans="1:13">
      <c r="A52">
        <v>2008</v>
      </c>
      <c r="B52">
        <v>6</v>
      </c>
      <c r="C52">
        <v>27</v>
      </c>
      <c r="D52">
        <v>14</v>
      </c>
      <c r="E52">
        <v>444</v>
      </c>
      <c r="F52">
        <v>0</v>
      </c>
      <c r="G52">
        <v>1</v>
      </c>
      <c r="H52">
        <v>1.38</v>
      </c>
      <c r="I52">
        <v>8</v>
      </c>
      <c r="J52">
        <v>1.5</v>
      </c>
      <c r="K52">
        <v>1</v>
      </c>
      <c r="L52" s="1">
        <f t="shared" si="2"/>
        <v>1.7732239788973101</v>
      </c>
      <c r="M52">
        <f t="shared" si="3"/>
        <v>3.0095063799501802</v>
      </c>
    </row>
    <row r="53" spans="1:13">
      <c r="A53">
        <v>2008</v>
      </c>
      <c r="B53">
        <v>6</v>
      </c>
      <c r="C53">
        <v>27</v>
      </c>
      <c r="D53">
        <v>15</v>
      </c>
      <c r="E53">
        <v>350.07</v>
      </c>
      <c r="F53">
        <v>0.83</v>
      </c>
      <c r="G53">
        <v>3.5</v>
      </c>
      <c r="H53">
        <v>1.51</v>
      </c>
      <c r="I53">
        <v>6</v>
      </c>
      <c r="J53">
        <v>4</v>
      </c>
      <c r="K53">
        <v>0</v>
      </c>
      <c r="L53" s="1">
        <f t="shared" si="2"/>
        <v>2.4579357279092902</v>
      </c>
      <c r="M53">
        <f t="shared" si="3"/>
        <v>2.37283310457018</v>
      </c>
    </row>
    <row r="54" spans="1:13">
      <c r="A54">
        <v>2008</v>
      </c>
      <c r="B54">
        <v>6</v>
      </c>
      <c r="C54">
        <v>27</v>
      </c>
      <c r="D54">
        <v>16</v>
      </c>
      <c r="E54">
        <v>433</v>
      </c>
      <c r="F54">
        <v>1.67</v>
      </c>
      <c r="G54">
        <v>3.5</v>
      </c>
      <c r="H54">
        <v>1.65</v>
      </c>
      <c r="I54">
        <v>1.33</v>
      </c>
      <c r="J54">
        <v>20</v>
      </c>
      <c r="K54">
        <v>0.5</v>
      </c>
      <c r="L54" s="1">
        <f t="shared" si="2"/>
        <v>2.8992756963155002</v>
      </c>
      <c r="M54">
        <f t="shared" si="3"/>
        <v>2.93494653720367</v>
      </c>
    </row>
    <row r="55" spans="1:13">
      <c r="A55">
        <v>2008</v>
      </c>
      <c r="B55">
        <v>6</v>
      </c>
      <c r="C55">
        <v>27</v>
      </c>
      <c r="D55">
        <v>17</v>
      </c>
      <c r="E55">
        <v>433.33</v>
      </c>
      <c r="F55">
        <v>0</v>
      </c>
      <c r="G55">
        <v>0.5</v>
      </c>
      <c r="H55">
        <v>1.79</v>
      </c>
      <c r="I55">
        <v>0.67</v>
      </c>
      <c r="J55">
        <v>1</v>
      </c>
      <c r="K55">
        <v>1</v>
      </c>
      <c r="L55" s="1">
        <f t="shared" si="2"/>
        <v>0.70043547843507303</v>
      </c>
      <c r="M55">
        <f t="shared" si="3"/>
        <v>2.9371833324860601</v>
      </c>
    </row>
    <row r="56" spans="1:13">
      <c r="A56">
        <v>2008</v>
      </c>
      <c r="B56">
        <v>6</v>
      </c>
      <c r="C56">
        <v>27</v>
      </c>
      <c r="D56">
        <v>18</v>
      </c>
      <c r="E56">
        <v>372</v>
      </c>
      <c r="F56">
        <v>0</v>
      </c>
      <c r="G56">
        <v>0</v>
      </c>
      <c r="H56">
        <v>1.93</v>
      </c>
      <c r="I56">
        <v>0</v>
      </c>
      <c r="J56">
        <v>0</v>
      </c>
      <c r="K56">
        <v>0</v>
      </c>
      <c r="L56" s="1">
        <f t="shared" si="2"/>
        <v>0.29908410011353498</v>
      </c>
      <c r="M56">
        <f t="shared" si="3"/>
        <v>2.5214783183366398</v>
      </c>
    </row>
    <row r="57" spans="1:13">
      <c r="A57">
        <v>2008</v>
      </c>
      <c r="B57">
        <v>6</v>
      </c>
      <c r="C57">
        <v>27</v>
      </c>
      <c r="D57">
        <v>19</v>
      </c>
      <c r="E57">
        <v>326.05</v>
      </c>
      <c r="F57">
        <v>0</v>
      </c>
      <c r="G57">
        <v>0</v>
      </c>
      <c r="H57">
        <v>2.06</v>
      </c>
      <c r="I57">
        <v>0</v>
      </c>
      <c r="J57">
        <v>0</v>
      </c>
      <c r="K57">
        <v>0</v>
      </c>
      <c r="L57" s="1">
        <f t="shared" si="2"/>
        <v>0.31922966126107799</v>
      </c>
      <c r="M57">
        <f t="shared" si="3"/>
        <v>2.2100215206818801</v>
      </c>
    </row>
    <row r="58" spans="1:13">
      <c r="A58">
        <v>2008</v>
      </c>
      <c r="B58">
        <v>6</v>
      </c>
      <c r="C58">
        <v>27</v>
      </c>
      <c r="D58">
        <v>20</v>
      </c>
      <c r="E58">
        <v>302.25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1">
        <f t="shared" si="2"/>
        <v>0</v>
      </c>
      <c r="M58">
        <f t="shared" si="3"/>
        <v>2.0487011336485201</v>
      </c>
    </row>
    <row r="59" spans="1:13">
      <c r="A59">
        <v>2008</v>
      </c>
      <c r="B59">
        <v>6</v>
      </c>
      <c r="C59">
        <v>27</v>
      </c>
      <c r="D59">
        <v>21</v>
      </c>
      <c r="E59">
        <v>289.83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1">
        <f t="shared" si="2"/>
        <v>0</v>
      </c>
      <c r="M59">
        <f t="shared" si="3"/>
        <v>1.96451629302018</v>
      </c>
    </row>
    <row r="60" spans="1:13">
      <c r="A60">
        <v>2008</v>
      </c>
      <c r="B60">
        <v>6</v>
      </c>
      <c r="C60">
        <v>27</v>
      </c>
      <c r="D60">
        <v>22</v>
      </c>
      <c r="E60">
        <v>278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1">
        <f t="shared" si="2"/>
        <v>0</v>
      </c>
      <c r="M60">
        <f t="shared" si="3"/>
        <v>1.88433057123007</v>
      </c>
    </row>
    <row r="61" spans="1:13">
      <c r="A61">
        <v>2008</v>
      </c>
      <c r="B61">
        <v>6</v>
      </c>
      <c r="C61">
        <v>27</v>
      </c>
      <c r="D61">
        <v>23</v>
      </c>
      <c r="E61">
        <v>261.74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1">
        <f t="shared" si="2"/>
        <v>0</v>
      </c>
      <c r="M61">
        <f t="shared" si="3"/>
        <v>1.7741175673156799</v>
      </c>
    </row>
    <row r="62" spans="1:13">
      <c r="A62">
        <v>2008</v>
      </c>
      <c r="B62">
        <v>6</v>
      </c>
      <c r="C62">
        <v>28</v>
      </c>
      <c r="D62">
        <v>0</v>
      </c>
      <c r="E62">
        <v>259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1">
        <f t="shared" si="2"/>
        <v>0</v>
      </c>
      <c r="M62">
        <f t="shared" si="3"/>
        <v>1.75554538830427</v>
      </c>
    </row>
    <row r="63" spans="1:13">
      <c r="A63">
        <v>2008</v>
      </c>
      <c r="B63">
        <v>6</v>
      </c>
      <c r="C63">
        <v>28</v>
      </c>
      <c r="D63">
        <v>1</v>
      </c>
      <c r="E63">
        <v>283.77999999999997</v>
      </c>
      <c r="F63">
        <v>0</v>
      </c>
      <c r="G63">
        <v>4</v>
      </c>
      <c r="H63">
        <v>0</v>
      </c>
      <c r="I63">
        <v>0.5</v>
      </c>
      <c r="J63">
        <v>0</v>
      </c>
      <c r="K63">
        <v>0</v>
      </c>
      <c r="L63" s="1">
        <f t="shared" si="2"/>
        <v>1.27064281504829</v>
      </c>
      <c r="M63">
        <f t="shared" si="3"/>
        <v>1.9235083795096</v>
      </c>
    </row>
    <row r="64" spans="1:13">
      <c r="A64">
        <v>2008</v>
      </c>
      <c r="B64">
        <v>6</v>
      </c>
      <c r="C64">
        <v>28</v>
      </c>
      <c r="D64">
        <v>2</v>
      </c>
      <c r="E64">
        <v>311.14999999999998</v>
      </c>
      <c r="F64">
        <v>1.5</v>
      </c>
      <c r="G64">
        <v>0</v>
      </c>
      <c r="H64">
        <v>0</v>
      </c>
      <c r="I64">
        <v>0</v>
      </c>
      <c r="J64">
        <v>1.5</v>
      </c>
      <c r="K64">
        <v>0</v>
      </c>
      <c r="L64" s="1">
        <f t="shared" si="2"/>
        <v>0.41452730754240502</v>
      </c>
      <c r="M64">
        <f t="shared" si="3"/>
        <v>2.10902682459797</v>
      </c>
    </row>
    <row r="65" spans="1:13">
      <c r="A65">
        <v>2008</v>
      </c>
      <c r="B65">
        <v>6</v>
      </c>
      <c r="C65">
        <v>28</v>
      </c>
      <c r="D65">
        <v>3</v>
      </c>
      <c r="E65">
        <v>306.44</v>
      </c>
      <c r="F65">
        <v>0</v>
      </c>
      <c r="G65">
        <v>0</v>
      </c>
      <c r="H65">
        <v>0</v>
      </c>
      <c r="I65">
        <v>0</v>
      </c>
      <c r="J65">
        <v>0</v>
      </c>
      <c r="K65">
        <v>0.5</v>
      </c>
      <c r="L65" s="1">
        <f t="shared" si="2"/>
        <v>6.8119642188068E-2</v>
      </c>
      <c r="M65">
        <f t="shared" si="3"/>
        <v>2.0771016555674202</v>
      </c>
    </row>
    <row r="66" spans="1:13">
      <c r="A66">
        <v>2008</v>
      </c>
      <c r="B66">
        <v>6</v>
      </c>
      <c r="C66">
        <v>28</v>
      </c>
      <c r="D66">
        <v>4</v>
      </c>
      <c r="E66">
        <v>235</v>
      </c>
      <c r="F66">
        <v>0.5</v>
      </c>
      <c r="G66">
        <v>0</v>
      </c>
      <c r="H66">
        <v>0</v>
      </c>
      <c r="I66">
        <v>0</v>
      </c>
      <c r="J66">
        <v>0</v>
      </c>
      <c r="K66">
        <v>1</v>
      </c>
      <c r="L66" s="1">
        <f t="shared" si="2"/>
        <v>0.25027253881912997</v>
      </c>
      <c r="M66">
        <f t="shared" si="3"/>
        <v>1.5928693677664201</v>
      </c>
    </row>
    <row r="67" spans="1:13">
      <c r="A67">
        <v>2008</v>
      </c>
      <c r="B67">
        <v>6</v>
      </c>
      <c r="C67">
        <v>28</v>
      </c>
      <c r="D67">
        <v>5</v>
      </c>
      <c r="E67">
        <v>201.33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1">
        <f t="shared" si="2"/>
        <v>0</v>
      </c>
      <c r="M67">
        <f t="shared" si="3"/>
        <v>1.3646484672868699</v>
      </c>
    </row>
    <row r="68" spans="1:13">
      <c r="A68">
        <v>2008</v>
      </c>
      <c r="B68">
        <v>6</v>
      </c>
      <c r="C68">
        <v>28</v>
      </c>
      <c r="D68">
        <v>6</v>
      </c>
      <c r="E68">
        <v>237.44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1">
        <f t="shared" si="2"/>
        <v>0</v>
      </c>
      <c r="M68">
        <f t="shared" si="3"/>
        <v>1.6094080965211099</v>
      </c>
    </row>
    <row r="69" spans="1:13">
      <c r="A69">
        <v>2008</v>
      </c>
      <c r="B69">
        <v>6</v>
      </c>
      <c r="C69">
        <v>28</v>
      </c>
      <c r="D69">
        <v>7</v>
      </c>
      <c r="E69">
        <v>230.93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f t="shared" ref="L69:L100" si="4">F69*$F$2+G69*$G$2+H69*$H$2+I69*$I$2+J69*$J$2+K69*$K$2</f>
        <v>0</v>
      </c>
      <c r="M69">
        <f t="shared" ref="M69:M100" si="5">E69*3600/(1000*$L$1)</f>
        <v>1.5652822259502099</v>
      </c>
    </row>
    <row r="70" spans="1:13">
      <c r="A70">
        <v>2008</v>
      </c>
      <c r="B70">
        <v>6</v>
      </c>
      <c r="C70">
        <v>28</v>
      </c>
      <c r="D70">
        <v>8</v>
      </c>
      <c r="E70">
        <v>213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 s="1">
        <f t="shared" si="4"/>
        <v>0.15496585498110599</v>
      </c>
      <c r="M70">
        <f t="shared" si="5"/>
        <v>1.4437496822733999</v>
      </c>
    </row>
    <row r="71" spans="1:13">
      <c r="A71">
        <v>2008</v>
      </c>
      <c r="B71">
        <v>6</v>
      </c>
      <c r="C71">
        <v>28</v>
      </c>
      <c r="D71">
        <v>9</v>
      </c>
      <c r="E71">
        <v>210</v>
      </c>
      <c r="F71">
        <v>0</v>
      </c>
      <c r="G71">
        <v>0</v>
      </c>
      <c r="H71">
        <v>14</v>
      </c>
      <c r="I71">
        <v>0</v>
      </c>
      <c r="J71">
        <v>7</v>
      </c>
      <c r="K71">
        <v>0</v>
      </c>
      <c r="L71" s="1">
        <f t="shared" si="4"/>
        <v>2.5075171760647899</v>
      </c>
      <c r="M71">
        <f t="shared" si="5"/>
        <v>1.42341517970617</v>
      </c>
    </row>
    <row r="72" spans="1:13">
      <c r="A72">
        <v>2008</v>
      </c>
      <c r="B72">
        <v>6</v>
      </c>
      <c r="C72">
        <v>28</v>
      </c>
      <c r="D72">
        <v>10</v>
      </c>
      <c r="E72">
        <v>213.06</v>
      </c>
      <c r="F72">
        <v>0</v>
      </c>
      <c r="G72">
        <v>2</v>
      </c>
      <c r="H72">
        <v>1.5</v>
      </c>
      <c r="I72">
        <v>1</v>
      </c>
      <c r="J72">
        <v>4</v>
      </c>
      <c r="K72">
        <v>0.33</v>
      </c>
      <c r="L72" s="1">
        <f t="shared" si="4"/>
        <v>1.20425437333017</v>
      </c>
      <c r="M72">
        <f t="shared" si="5"/>
        <v>1.4441563723247399</v>
      </c>
    </row>
    <row r="73" spans="1:13">
      <c r="A73">
        <v>2008</v>
      </c>
      <c r="B73">
        <v>6</v>
      </c>
      <c r="C73">
        <v>28</v>
      </c>
      <c r="D73">
        <v>11</v>
      </c>
      <c r="E73">
        <v>211.88</v>
      </c>
      <c r="F73">
        <v>10.5</v>
      </c>
      <c r="G73">
        <v>15</v>
      </c>
      <c r="H73">
        <v>6.5</v>
      </c>
      <c r="I73">
        <v>5.5</v>
      </c>
      <c r="J73">
        <v>10</v>
      </c>
      <c r="K73">
        <v>0.67</v>
      </c>
      <c r="L73" s="1">
        <f t="shared" si="4"/>
        <v>9.2165455634069406</v>
      </c>
      <c r="M73">
        <f t="shared" si="5"/>
        <v>1.4361581346483001</v>
      </c>
    </row>
    <row r="74" spans="1:13">
      <c r="A74">
        <v>2008</v>
      </c>
      <c r="B74">
        <v>6</v>
      </c>
      <c r="C74">
        <v>28</v>
      </c>
      <c r="D74">
        <v>12</v>
      </c>
      <c r="E74">
        <v>238</v>
      </c>
      <c r="F74">
        <v>11.5</v>
      </c>
      <c r="G74">
        <v>15</v>
      </c>
      <c r="H74">
        <v>27.5</v>
      </c>
      <c r="I74">
        <v>31.5</v>
      </c>
      <c r="J74">
        <v>22</v>
      </c>
      <c r="K74">
        <v>10</v>
      </c>
      <c r="L74" s="1">
        <f t="shared" si="4"/>
        <v>17.960111425542799</v>
      </c>
      <c r="M74">
        <f t="shared" si="5"/>
        <v>1.61320387033366</v>
      </c>
    </row>
    <row r="75" spans="1:13">
      <c r="A75">
        <v>2008</v>
      </c>
      <c r="B75">
        <v>6</v>
      </c>
      <c r="C75">
        <v>28</v>
      </c>
      <c r="D75">
        <v>13</v>
      </c>
      <c r="E75">
        <v>320</v>
      </c>
      <c r="F75">
        <v>2.5</v>
      </c>
      <c r="G75">
        <v>2</v>
      </c>
      <c r="H75">
        <v>1.5</v>
      </c>
      <c r="I75">
        <v>2.5</v>
      </c>
      <c r="J75">
        <v>5</v>
      </c>
      <c r="K75">
        <v>3</v>
      </c>
      <c r="L75" s="1">
        <f t="shared" si="4"/>
        <v>2.38323476748061</v>
      </c>
      <c r="M75">
        <f t="shared" si="5"/>
        <v>2.1690136071713</v>
      </c>
    </row>
    <row r="76" spans="1:13">
      <c r="A76">
        <v>2008</v>
      </c>
      <c r="B76">
        <v>6</v>
      </c>
      <c r="C76">
        <v>28</v>
      </c>
      <c r="D76">
        <v>14</v>
      </c>
      <c r="E76">
        <v>356.15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1">
        <f t="shared" si="4"/>
        <v>0</v>
      </c>
      <c r="M76">
        <f t="shared" si="5"/>
        <v>2.4140443631064299</v>
      </c>
    </row>
    <row r="77" spans="1:13">
      <c r="A77">
        <v>2008</v>
      </c>
      <c r="B77">
        <v>6</v>
      </c>
      <c r="C77">
        <v>28</v>
      </c>
      <c r="D77">
        <v>15</v>
      </c>
      <c r="E77">
        <v>351.46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1">
        <f t="shared" si="4"/>
        <v>0</v>
      </c>
      <c r="M77">
        <f t="shared" si="5"/>
        <v>2.3822547574263302</v>
      </c>
    </row>
    <row r="78" spans="1:13">
      <c r="A78">
        <v>2008</v>
      </c>
      <c r="B78">
        <v>6</v>
      </c>
      <c r="C78">
        <v>28</v>
      </c>
      <c r="D78">
        <v>16</v>
      </c>
      <c r="E78">
        <v>346.7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f t="shared" si="4"/>
        <v>0</v>
      </c>
      <c r="M78">
        <f t="shared" si="5"/>
        <v>2.3499906800196602</v>
      </c>
    </row>
    <row r="79" spans="1:13">
      <c r="A79">
        <v>2008</v>
      </c>
      <c r="B79">
        <v>6</v>
      </c>
      <c r="C79">
        <v>28</v>
      </c>
      <c r="D79">
        <v>17</v>
      </c>
      <c r="E79">
        <v>333.6</v>
      </c>
      <c r="F79">
        <v>0</v>
      </c>
      <c r="G79">
        <v>0</v>
      </c>
      <c r="H79">
        <v>0.33</v>
      </c>
      <c r="I79">
        <v>0</v>
      </c>
      <c r="J79">
        <v>0</v>
      </c>
      <c r="K79">
        <v>0.5</v>
      </c>
      <c r="L79" s="1">
        <f t="shared" si="4"/>
        <v>0.11925837433183301</v>
      </c>
      <c r="M79">
        <f t="shared" si="5"/>
        <v>2.2611966854760799</v>
      </c>
    </row>
    <row r="80" spans="1:13">
      <c r="A80">
        <v>2008</v>
      </c>
      <c r="B80">
        <v>6</v>
      </c>
      <c r="C80">
        <v>28</v>
      </c>
      <c r="D80">
        <v>18</v>
      </c>
      <c r="E80">
        <v>310</v>
      </c>
      <c r="F80">
        <v>0</v>
      </c>
      <c r="G80">
        <v>0</v>
      </c>
      <c r="H80">
        <v>0.67</v>
      </c>
      <c r="I80">
        <v>0</v>
      </c>
      <c r="J80">
        <v>0.5</v>
      </c>
      <c r="K80">
        <v>0</v>
      </c>
      <c r="L80" s="1">
        <f t="shared" si="4"/>
        <v>0.12796963757514801</v>
      </c>
      <c r="M80">
        <f t="shared" si="5"/>
        <v>2.1012319319472001</v>
      </c>
    </row>
    <row r="81" spans="1:13">
      <c r="A81">
        <v>2008</v>
      </c>
      <c r="B81">
        <v>6</v>
      </c>
      <c r="C81">
        <v>28</v>
      </c>
      <c r="D81">
        <v>19</v>
      </c>
      <c r="E81">
        <v>279.61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1">
        <f t="shared" si="4"/>
        <v>0</v>
      </c>
      <c r="M81">
        <f t="shared" si="5"/>
        <v>1.8952434209411499</v>
      </c>
    </row>
    <row r="82" spans="1:13">
      <c r="A82">
        <v>2008</v>
      </c>
      <c r="B82">
        <v>6</v>
      </c>
      <c r="C82">
        <v>28</v>
      </c>
      <c r="D82">
        <v>20</v>
      </c>
      <c r="E82">
        <v>250.31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1">
        <f t="shared" si="4"/>
        <v>0</v>
      </c>
      <c r="M82">
        <f t="shared" si="5"/>
        <v>1.69664311253453</v>
      </c>
    </row>
    <row r="83" spans="1:13">
      <c r="A83">
        <v>2008</v>
      </c>
      <c r="B83">
        <v>6</v>
      </c>
      <c r="C83">
        <v>28</v>
      </c>
      <c r="D83">
        <v>21</v>
      </c>
      <c r="E83">
        <v>231</v>
      </c>
      <c r="F83">
        <v>0</v>
      </c>
      <c r="G83">
        <v>0.5</v>
      </c>
      <c r="H83">
        <v>0.5</v>
      </c>
      <c r="I83">
        <v>0</v>
      </c>
      <c r="J83">
        <v>0</v>
      </c>
      <c r="K83">
        <v>0</v>
      </c>
      <c r="L83" s="1">
        <f t="shared" si="4"/>
        <v>0.22811452090594</v>
      </c>
      <c r="M83">
        <f t="shared" si="5"/>
        <v>1.5657566976767801</v>
      </c>
    </row>
    <row r="84" spans="1:13">
      <c r="A84">
        <v>2008</v>
      </c>
      <c r="B84">
        <v>6</v>
      </c>
      <c r="C84">
        <v>28</v>
      </c>
      <c r="D84">
        <v>22</v>
      </c>
      <c r="E84">
        <v>225.37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1">
        <f t="shared" si="4"/>
        <v>0</v>
      </c>
      <c r="M84">
        <f t="shared" si="5"/>
        <v>1.52759561452561</v>
      </c>
    </row>
    <row r="85" spans="1:13">
      <c r="A85">
        <v>2008</v>
      </c>
      <c r="B85">
        <v>6</v>
      </c>
      <c r="C85">
        <v>28</v>
      </c>
      <c r="D85">
        <v>23</v>
      </c>
      <c r="E85">
        <v>217.97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1">
        <f t="shared" si="4"/>
        <v>0</v>
      </c>
      <c r="M85">
        <f t="shared" si="5"/>
        <v>1.4774371748597801</v>
      </c>
    </row>
    <row r="86" spans="1:13">
      <c r="A86">
        <v>2008</v>
      </c>
      <c r="B86">
        <v>6</v>
      </c>
      <c r="C86">
        <v>29</v>
      </c>
      <c r="D86">
        <v>0</v>
      </c>
      <c r="E86">
        <v>207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1">
        <f t="shared" si="4"/>
        <v>0</v>
      </c>
      <c r="M86">
        <f t="shared" si="5"/>
        <v>1.4030806771389399</v>
      </c>
    </row>
    <row r="87" spans="1:13">
      <c r="A87">
        <v>2008</v>
      </c>
      <c r="B87">
        <v>6</v>
      </c>
      <c r="C87">
        <v>29</v>
      </c>
      <c r="D87">
        <v>1</v>
      </c>
      <c r="E87">
        <v>199.87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1">
        <f t="shared" si="4"/>
        <v>0</v>
      </c>
      <c r="M87">
        <f t="shared" si="5"/>
        <v>1.3547523427041499</v>
      </c>
    </row>
    <row r="88" spans="1:13">
      <c r="A88">
        <v>2008</v>
      </c>
      <c r="B88">
        <v>6</v>
      </c>
      <c r="C88">
        <v>29</v>
      </c>
      <c r="D88">
        <v>2</v>
      </c>
      <c r="E88">
        <v>196.59</v>
      </c>
      <c r="F88">
        <v>0</v>
      </c>
      <c r="G88">
        <v>0.5</v>
      </c>
      <c r="H88">
        <v>0.5</v>
      </c>
      <c r="I88">
        <v>0.5</v>
      </c>
      <c r="J88">
        <v>0.5</v>
      </c>
      <c r="K88">
        <v>0</v>
      </c>
      <c r="L88" s="1">
        <f t="shared" si="4"/>
        <v>0.31784710336893801</v>
      </c>
      <c r="M88">
        <f t="shared" si="5"/>
        <v>1.33251995323064</v>
      </c>
    </row>
    <row r="89" spans="1:13">
      <c r="A89">
        <v>2008</v>
      </c>
      <c r="B89">
        <v>6</v>
      </c>
      <c r="C89">
        <v>29</v>
      </c>
      <c r="D89">
        <v>3</v>
      </c>
      <c r="E89">
        <v>195.27</v>
      </c>
      <c r="F89">
        <v>0.5</v>
      </c>
      <c r="G89">
        <v>0</v>
      </c>
      <c r="H89">
        <v>0</v>
      </c>
      <c r="I89">
        <v>0</v>
      </c>
      <c r="J89">
        <v>0</v>
      </c>
      <c r="K89">
        <v>0</v>
      </c>
      <c r="L89" s="1">
        <f t="shared" si="4"/>
        <v>0.114033254442995</v>
      </c>
      <c r="M89">
        <f t="shared" si="5"/>
        <v>1.3235727721010599</v>
      </c>
    </row>
    <row r="90" spans="1:13">
      <c r="A90">
        <v>2008</v>
      </c>
      <c r="B90">
        <v>6</v>
      </c>
      <c r="C90">
        <v>29</v>
      </c>
      <c r="D90">
        <v>4</v>
      </c>
      <c r="E90">
        <v>194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f t="shared" si="4"/>
        <v>0</v>
      </c>
      <c r="M90">
        <f t="shared" si="5"/>
        <v>1.3149644993476</v>
      </c>
    </row>
    <row r="91" spans="1:13">
      <c r="A91">
        <v>2008</v>
      </c>
      <c r="B91">
        <v>6</v>
      </c>
      <c r="C91">
        <v>29</v>
      </c>
      <c r="D91">
        <v>5</v>
      </c>
      <c r="E91">
        <v>191.31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f t="shared" si="4"/>
        <v>0</v>
      </c>
      <c r="M91">
        <f t="shared" si="5"/>
        <v>1.29673122871232</v>
      </c>
    </row>
    <row r="92" spans="1:13">
      <c r="A92">
        <v>2008</v>
      </c>
      <c r="B92">
        <v>6</v>
      </c>
      <c r="C92">
        <v>29</v>
      </c>
      <c r="D92">
        <v>6</v>
      </c>
      <c r="E92">
        <v>187.37</v>
      </c>
      <c r="F92">
        <v>0</v>
      </c>
      <c r="G92">
        <v>0</v>
      </c>
      <c r="H92">
        <v>0</v>
      </c>
      <c r="I92">
        <v>0.5</v>
      </c>
      <c r="J92">
        <v>0</v>
      </c>
      <c r="K92">
        <v>0</v>
      </c>
      <c r="L92" s="1">
        <f t="shared" si="4"/>
        <v>6.5590067725190507E-2</v>
      </c>
      <c r="M92">
        <f t="shared" si="5"/>
        <v>1.27002524867402</v>
      </c>
    </row>
    <row r="93" spans="1:13">
      <c r="A93">
        <v>2008</v>
      </c>
      <c r="B93">
        <v>6</v>
      </c>
      <c r="C93">
        <v>29</v>
      </c>
      <c r="D93">
        <v>7</v>
      </c>
      <c r="E93">
        <v>182.74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1">
        <f t="shared" si="4"/>
        <v>0</v>
      </c>
      <c r="M93">
        <f t="shared" si="5"/>
        <v>1.2386423330452601</v>
      </c>
    </row>
    <row r="94" spans="1:13">
      <c r="A94">
        <v>2008</v>
      </c>
      <c r="B94">
        <v>6</v>
      </c>
      <c r="C94">
        <v>29</v>
      </c>
      <c r="D94">
        <v>8</v>
      </c>
      <c r="E94">
        <v>178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1">
        <f t="shared" si="4"/>
        <v>0</v>
      </c>
      <c r="M94">
        <f t="shared" si="5"/>
        <v>1.2065138189890401</v>
      </c>
    </row>
    <row r="95" spans="1:13">
      <c r="A95">
        <v>2008</v>
      </c>
      <c r="B95">
        <v>6</v>
      </c>
      <c r="C95">
        <v>29</v>
      </c>
      <c r="D95">
        <v>9</v>
      </c>
      <c r="E95">
        <v>173.76</v>
      </c>
      <c r="F95">
        <v>4</v>
      </c>
      <c r="G95">
        <v>3</v>
      </c>
      <c r="H95">
        <v>3.5</v>
      </c>
      <c r="I95">
        <v>2.5</v>
      </c>
      <c r="J95">
        <v>3.5</v>
      </c>
      <c r="K95">
        <v>0.83</v>
      </c>
      <c r="L95" s="1">
        <f t="shared" si="4"/>
        <v>2.96846263629295</v>
      </c>
      <c r="M95">
        <f t="shared" si="5"/>
        <v>1.17777438869402</v>
      </c>
    </row>
    <row r="96" spans="1:13">
      <c r="A96">
        <v>2008</v>
      </c>
      <c r="B96">
        <v>6</v>
      </c>
      <c r="C96">
        <v>29</v>
      </c>
      <c r="D96">
        <v>10</v>
      </c>
      <c r="E96">
        <v>170.79</v>
      </c>
      <c r="F96">
        <v>0</v>
      </c>
      <c r="G96">
        <v>0</v>
      </c>
      <c r="H96">
        <v>0.8</v>
      </c>
      <c r="I96">
        <v>0</v>
      </c>
      <c r="J96">
        <v>0</v>
      </c>
      <c r="K96">
        <v>1.67</v>
      </c>
      <c r="L96" s="1">
        <f t="shared" si="4"/>
        <v>0.35149228889303202</v>
      </c>
      <c r="M96">
        <f t="shared" si="5"/>
        <v>1.15764323115246</v>
      </c>
    </row>
    <row r="97" spans="1:13">
      <c r="A97">
        <v>2008</v>
      </c>
      <c r="B97">
        <v>6</v>
      </c>
      <c r="C97">
        <v>29</v>
      </c>
      <c r="D97">
        <v>11</v>
      </c>
      <c r="E97">
        <v>169.93</v>
      </c>
      <c r="F97">
        <v>0</v>
      </c>
      <c r="G97">
        <v>0.5</v>
      </c>
      <c r="H97">
        <v>0.67</v>
      </c>
      <c r="I97">
        <v>0.55000000000000004</v>
      </c>
      <c r="J97">
        <v>0.42</v>
      </c>
      <c r="K97">
        <v>0</v>
      </c>
      <c r="L97" s="1">
        <f t="shared" si="4"/>
        <v>0.34688750313019601</v>
      </c>
      <c r="M97">
        <f t="shared" si="5"/>
        <v>1.1518140070831899</v>
      </c>
    </row>
    <row r="98" spans="1:13">
      <c r="A98">
        <v>2008</v>
      </c>
      <c r="B98">
        <v>6</v>
      </c>
      <c r="C98">
        <v>29</v>
      </c>
      <c r="D98">
        <v>12</v>
      </c>
      <c r="E98">
        <v>172</v>
      </c>
      <c r="F98">
        <v>0</v>
      </c>
      <c r="G98">
        <v>0</v>
      </c>
      <c r="H98">
        <v>0.53</v>
      </c>
      <c r="I98">
        <v>1.1000000000000001</v>
      </c>
      <c r="J98">
        <v>0.83</v>
      </c>
      <c r="K98">
        <v>3.5</v>
      </c>
      <c r="L98" s="1">
        <f t="shared" si="4"/>
        <v>0.74334412191664101</v>
      </c>
      <c r="M98">
        <f t="shared" si="5"/>
        <v>1.1658448138545701</v>
      </c>
    </row>
    <row r="99" spans="1:13">
      <c r="A99">
        <v>2008</v>
      </c>
      <c r="B99">
        <v>6</v>
      </c>
      <c r="C99">
        <v>29</v>
      </c>
      <c r="D99">
        <v>13</v>
      </c>
      <c r="E99">
        <v>176.72</v>
      </c>
      <c r="F99">
        <v>0.67</v>
      </c>
      <c r="G99">
        <v>0.67</v>
      </c>
      <c r="H99">
        <v>6.5</v>
      </c>
      <c r="I99">
        <v>1.65</v>
      </c>
      <c r="J99">
        <v>1.25</v>
      </c>
      <c r="K99">
        <v>1</v>
      </c>
      <c r="L99" s="1">
        <f t="shared" si="4"/>
        <v>1.7749717482212</v>
      </c>
      <c r="M99">
        <f t="shared" si="5"/>
        <v>1.19783776456035</v>
      </c>
    </row>
    <row r="100" spans="1:13">
      <c r="A100">
        <v>2008</v>
      </c>
      <c r="B100">
        <v>6</v>
      </c>
      <c r="C100">
        <v>29</v>
      </c>
      <c r="D100">
        <v>14</v>
      </c>
      <c r="E100">
        <v>181.55</v>
      </c>
      <c r="F100">
        <v>1.33</v>
      </c>
      <c r="G100">
        <v>1.33</v>
      </c>
      <c r="H100">
        <v>1.0900000000000001</v>
      </c>
      <c r="I100">
        <v>2.2000000000000002</v>
      </c>
      <c r="J100">
        <v>19.5</v>
      </c>
      <c r="K100">
        <v>11</v>
      </c>
      <c r="L100" s="1">
        <f t="shared" si="4"/>
        <v>3.6017077781355198</v>
      </c>
      <c r="M100">
        <f t="shared" si="5"/>
        <v>1.2305763136935901</v>
      </c>
    </row>
    <row r="101" spans="1:13">
      <c r="A101">
        <v>2008</v>
      </c>
      <c r="B101">
        <v>6</v>
      </c>
      <c r="C101">
        <v>29</v>
      </c>
      <c r="D101">
        <v>15</v>
      </c>
      <c r="E101">
        <v>205.01</v>
      </c>
      <c r="F101">
        <v>25.5</v>
      </c>
      <c r="G101">
        <v>29.5</v>
      </c>
      <c r="H101">
        <v>0.41</v>
      </c>
      <c r="I101">
        <v>15.5</v>
      </c>
      <c r="J101">
        <v>1.5</v>
      </c>
      <c r="K101">
        <v>6</v>
      </c>
      <c r="L101" s="1">
        <f t="shared" ref="L101:L131" si="6">F101*$F$2+G101*$G$2+H101*$H$2+I101*$I$2+J101*$J$2+K101*$K$2</f>
        <v>17.689651338594</v>
      </c>
      <c r="M101">
        <f t="shared" ref="M101:M131" si="7">E101*3600/(1000*$L$1)</f>
        <v>1.38959212376934</v>
      </c>
    </row>
    <row r="102" spans="1:13">
      <c r="A102">
        <v>2008</v>
      </c>
      <c r="B102">
        <v>6</v>
      </c>
      <c r="C102">
        <v>29</v>
      </c>
      <c r="D102">
        <v>16</v>
      </c>
      <c r="E102">
        <v>275.23</v>
      </c>
      <c r="F102">
        <v>16</v>
      </c>
      <c r="G102">
        <v>28</v>
      </c>
      <c r="H102">
        <v>20.5</v>
      </c>
      <c r="I102">
        <v>33</v>
      </c>
      <c r="J102">
        <v>35.5</v>
      </c>
      <c r="K102">
        <v>16.5</v>
      </c>
      <c r="L102" s="1">
        <f t="shared" si="6"/>
        <v>23.552244609003299</v>
      </c>
      <c r="M102">
        <f t="shared" si="7"/>
        <v>1.86555504719299</v>
      </c>
    </row>
    <row r="103" spans="1:13">
      <c r="A103">
        <v>2008</v>
      </c>
      <c r="B103">
        <v>6</v>
      </c>
      <c r="C103">
        <v>29</v>
      </c>
      <c r="D103">
        <v>17</v>
      </c>
      <c r="E103">
        <v>365</v>
      </c>
      <c r="F103">
        <v>3</v>
      </c>
      <c r="G103">
        <v>2.5</v>
      </c>
      <c r="H103">
        <v>4</v>
      </c>
      <c r="I103">
        <v>3</v>
      </c>
      <c r="J103">
        <v>3.5</v>
      </c>
      <c r="K103">
        <v>3</v>
      </c>
      <c r="L103" s="1">
        <f t="shared" si="6"/>
        <v>3.0284767763035298</v>
      </c>
      <c r="M103">
        <f t="shared" si="7"/>
        <v>2.4740311456797701</v>
      </c>
    </row>
    <row r="104" spans="1:13">
      <c r="A104">
        <v>2008</v>
      </c>
      <c r="B104">
        <v>6</v>
      </c>
      <c r="C104">
        <v>29</v>
      </c>
      <c r="D104">
        <v>18</v>
      </c>
      <c r="E104">
        <v>426</v>
      </c>
      <c r="F104">
        <v>1.5</v>
      </c>
      <c r="G104">
        <v>4</v>
      </c>
      <c r="H104">
        <v>3</v>
      </c>
      <c r="I104">
        <v>4.5</v>
      </c>
      <c r="J104">
        <v>4.5</v>
      </c>
      <c r="K104">
        <v>3.5</v>
      </c>
      <c r="L104" s="1">
        <f t="shared" si="6"/>
        <v>3.2964808130788499</v>
      </c>
      <c r="M104">
        <f t="shared" si="7"/>
        <v>2.8874993645467901</v>
      </c>
    </row>
    <row r="105" spans="1:13">
      <c r="A105">
        <v>2008</v>
      </c>
      <c r="B105">
        <v>6</v>
      </c>
      <c r="C105">
        <v>29</v>
      </c>
      <c r="D105">
        <v>19</v>
      </c>
      <c r="E105">
        <v>483</v>
      </c>
      <c r="F105">
        <v>1.5</v>
      </c>
      <c r="G105">
        <v>1</v>
      </c>
      <c r="H105">
        <v>1.5</v>
      </c>
      <c r="I105">
        <v>1</v>
      </c>
      <c r="J105">
        <v>1</v>
      </c>
      <c r="K105">
        <v>1</v>
      </c>
      <c r="L105" s="1">
        <f t="shared" si="6"/>
        <v>1.19151618193355</v>
      </c>
      <c r="M105">
        <f t="shared" si="7"/>
        <v>3.2738549133241799</v>
      </c>
    </row>
    <row r="106" spans="1:13">
      <c r="A106">
        <v>2008</v>
      </c>
      <c r="B106">
        <v>6</v>
      </c>
      <c r="C106">
        <v>29</v>
      </c>
      <c r="D106">
        <v>20</v>
      </c>
      <c r="E106">
        <v>507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1">
        <f t="shared" si="6"/>
        <v>0</v>
      </c>
      <c r="M106">
        <f t="shared" si="7"/>
        <v>3.4365309338620298</v>
      </c>
    </row>
    <row r="107" spans="1:13">
      <c r="A107">
        <v>2008</v>
      </c>
      <c r="B107">
        <v>6</v>
      </c>
      <c r="C107">
        <v>29</v>
      </c>
      <c r="D107">
        <v>21</v>
      </c>
      <c r="E107">
        <v>483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1">
        <f t="shared" si="6"/>
        <v>0</v>
      </c>
      <c r="M107">
        <f t="shared" si="7"/>
        <v>3.2738549133241799</v>
      </c>
    </row>
    <row r="108" spans="1:13">
      <c r="A108">
        <v>2008</v>
      </c>
      <c r="B108">
        <v>6</v>
      </c>
      <c r="C108">
        <v>29</v>
      </c>
      <c r="D108">
        <v>22</v>
      </c>
      <c r="E108">
        <v>430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1">
        <f t="shared" si="6"/>
        <v>0</v>
      </c>
      <c r="M108">
        <f t="shared" si="7"/>
        <v>2.9146120346364399</v>
      </c>
    </row>
    <row r="109" spans="1:13">
      <c r="A109">
        <v>2008</v>
      </c>
      <c r="B109">
        <v>6</v>
      </c>
      <c r="C109">
        <v>29</v>
      </c>
      <c r="D109">
        <v>23</v>
      </c>
      <c r="E109">
        <v>369.29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1">
        <f t="shared" si="6"/>
        <v>0</v>
      </c>
      <c r="M109">
        <f t="shared" si="7"/>
        <v>2.5031094843509099</v>
      </c>
    </row>
    <row r="110" spans="1:13">
      <c r="A110">
        <v>2008</v>
      </c>
      <c r="B110">
        <v>6</v>
      </c>
      <c r="C110">
        <v>30</v>
      </c>
      <c r="D110">
        <v>0</v>
      </c>
      <c r="E110">
        <v>286</v>
      </c>
      <c r="F110">
        <v>1</v>
      </c>
      <c r="G110">
        <v>0.5</v>
      </c>
      <c r="H110">
        <v>0</v>
      </c>
      <c r="I110">
        <v>0</v>
      </c>
      <c r="J110">
        <v>0</v>
      </c>
      <c r="K110">
        <v>0</v>
      </c>
      <c r="L110" s="1">
        <f t="shared" si="6"/>
        <v>0.37869810230137602</v>
      </c>
      <c r="M110">
        <f t="shared" si="7"/>
        <v>1.93855591140935</v>
      </c>
    </row>
    <row r="111" spans="1:13">
      <c r="A111">
        <v>2008</v>
      </c>
      <c r="B111">
        <v>6</v>
      </c>
      <c r="C111">
        <v>30</v>
      </c>
      <c r="D111">
        <v>1</v>
      </c>
      <c r="E111">
        <v>204.61</v>
      </c>
      <c r="F111">
        <v>0</v>
      </c>
      <c r="G111">
        <v>0</v>
      </c>
      <c r="H111">
        <v>0</v>
      </c>
      <c r="I111">
        <v>0.5</v>
      </c>
      <c r="J111">
        <v>0.5</v>
      </c>
      <c r="K111">
        <v>0</v>
      </c>
      <c r="L111" s="1">
        <f t="shared" si="6"/>
        <v>8.9732582462997798E-2</v>
      </c>
      <c r="M111">
        <f t="shared" si="7"/>
        <v>1.3868808567603701</v>
      </c>
    </row>
    <row r="112" spans="1:13">
      <c r="A112">
        <v>2008</v>
      </c>
      <c r="B112">
        <v>6</v>
      </c>
      <c r="C112">
        <v>30</v>
      </c>
      <c r="D112">
        <v>2</v>
      </c>
      <c r="E112">
        <v>181.56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>
        <f t="shared" si="6"/>
        <v>0</v>
      </c>
      <c r="M112">
        <f t="shared" si="7"/>
        <v>1.23064409536882</v>
      </c>
    </row>
    <row r="113" spans="1:13">
      <c r="A113">
        <v>2008</v>
      </c>
      <c r="B113">
        <v>6</v>
      </c>
      <c r="C113">
        <v>30</v>
      </c>
      <c r="D113">
        <v>3</v>
      </c>
      <c r="E113">
        <v>191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1">
        <f t="shared" si="6"/>
        <v>0</v>
      </c>
      <c r="M113">
        <f t="shared" si="7"/>
        <v>1.2946299967803701</v>
      </c>
    </row>
    <row r="114" spans="1:13">
      <c r="A114">
        <v>2008</v>
      </c>
      <c r="B114">
        <v>6</v>
      </c>
      <c r="C114">
        <v>30</v>
      </c>
      <c r="D114">
        <v>4</v>
      </c>
      <c r="E114">
        <v>205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1">
        <f t="shared" si="6"/>
        <v>0</v>
      </c>
      <c r="M114">
        <f t="shared" si="7"/>
        <v>1.3895243420941099</v>
      </c>
    </row>
    <row r="115" spans="1:13">
      <c r="A115">
        <v>2008</v>
      </c>
      <c r="B115">
        <v>6</v>
      </c>
      <c r="C115">
        <v>30</v>
      </c>
      <c r="D115">
        <v>5</v>
      </c>
      <c r="E115">
        <v>202.43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1">
        <f t="shared" si="6"/>
        <v>0</v>
      </c>
      <c r="M115">
        <f t="shared" si="7"/>
        <v>1.3721044515615199</v>
      </c>
    </row>
    <row r="116" spans="1:13">
      <c r="A116">
        <v>2008</v>
      </c>
      <c r="B116">
        <v>6</v>
      </c>
      <c r="C116">
        <v>30</v>
      </c>
      <c r="D116">
        <v>6</v>
      </c>
      <c r="E116">
        <v>189.22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1">
        <f t="shared" si="6"/>
        <v>0</v>
      </c>
      <c r="M116">
        <f t="shared" si="7"/>
        <v>1.2825648585904801</v>
      </c>
    </row>
    <row r="117" spans="1:13">
      <c r="A117">
        <v>2008</v>
      </c>
      <c r="B117">
        <v>6</v>
      </c>
      <c r="C117">
        <v>30</v>
      </c>
      <c r="D117">
        <v>7</v>
      </c>
      <c r="E117">
        <v>178.05</v>
      </c>
      <c r="F117">
        <v>1.5</v>
      </c>
      <c r="G117">
        <v>4.5</v>
      </c>
      <c r="H117">
        <v>6</v>
      </c>
      <c r="I117">
        <v>1.67</v>
      </c>
      <c r="J117">
        <v>1.5</v>
      </c>
      <c r="K117">
        <v>0.5</v>
      </c>
      <c r="L117" s="1">
        <f t="shared" si="6"/>
        <v>2.9871972465577299</v>
      </c>
      <c r="M117">
        <f t="shared" si="7"/>
        <v>1.2068527273651599</v>
      </c>
    </row>
    <row r="118" spans="1:13">
      <c r="A118">
        <v>2008</v>
      </c>
      <c r="B118">
        <v>6</v>
      </c>
      <c r="C118">
        <v>30</v>
      </c>
      <c r="D118">
        <v>8</v>
      </c>
      <c r="E118">
        <v>179</v>
      </c>
      <c r="F118">
        <v>3</v>
      </c>
      <c r="G118">
        <v>1.5</v>
      </c>
      <c r="H118">
        <v>2.5</v>
      </c>
      <c r="I118">
        <v>3.33</v>
      </c>
      <c r="J118">
        <v>5</v>
      </c>
      <c r="K118">
        <v>6</v>
      </c>
      <c r="L118" s="1">
        <f t="shared" si="6"/>
        <v>3.0191996490415498</v>
      </c>
      <c r="M118">
        <f t="shared" si="7"/>
        <v>1.21329198651145</v>
      </c>
    </row>
    <row r="119" spans="1:13">
      <c r="A119">
        <v>2008</v>
      </c>
      <c r="B119">
        <v>6</v>
      </c>
      <c r="C119">
        <v>30</v>
      </c>
      <c r="D119">
        <v>9</v>
      </c>
      <c r="E119">
        <v>181.02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1">
        <f t="shared" si="6"/>
        <v>0</v>
      </c>
      <c r="M119">
        <f t="shared" si="7"/>
        <v>1.2269838849067201</v>
      </c>
    </row>
    <row r="120" spans="1:13">
      <c r="A120">
        <v>2008</v>
      </c>
      <c r="B120">
        <v>6</v>
      </c>
      <c r="C120">
        <v>30</v>
      </c>
      <c r="D120">
        <v>10</v>
      </c>
      <c r="E120">
        <v>181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1">
        <f t="shared" si="6"/>
        <v>0</v>
      </c>
      <c r="M120">
        <f t="shared" si="7"/>
        <v>1.22684832155627</v>
      </c>
    </row>
    <row r="121" spans="1:13">
      <c r="A121">
        <v>2008</v>
      </c>
      <c r="B121">
        <v>6</v>
      </c>
      <c r="C121">
        <v>30</v>
      </c>
      <c r="D121">
        <v>11</v>
      </c>
      <c r="E121">
        <v>180.54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1">
        <f t="shared" si="6"/>
        <v>0</v>
      </c>
      <c r="M121">
        <f t="shared" si="7"/>
        <v>1.2237303644959601</v>
      </c>
    </row>
    <row r="122" spans="1:13">
      <c r="A122">
        <v>2008</v>
      </c>
      <c r="B122">
        <v>6</v>
      </c>
      <c r="C122">
        <v>30</v>
      </c>
      <c r="D122">
        <v>12</v>
      </c>
      <c r="E122">
        <v>177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1">
        <f t="shared" si="6"/>
        <v>0</v>
      </c>
      <c r="M122">
        <f t="shared" si="7"/>
        <v>1.19973565146663</v>
      </c>
    </row>
    <row r="123" spans="1:13">
      <c r="A123">
        <v>2008</v>
      </c>
      <c r="B123">
        <v>6</v>
      </c>
      <c r="C123">
        <v>30</v>
      </c>
      <c r="D123">
        <v>13</v>
      </c>
      <c r="E123">
        <v>167.98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1">
        <f t="shared" si="6"/>
        <v>0</v>
      </c>
      <c r="M123">
        <f t="shared" si="7"/>
        <v>1.13859658041448</v>
      </c>
    </row>
    <row r="124" spans="1:13">
      <c r="A124">
        <v>2008</v>
      </c>
      <c r="B124">
        <v>6</v>
      </c>
      <c r="C124">
        <v>30</v>
      </c>
      <c r="D124">
        <v>14</v>
      </c>
      <c r="E124">
        <v>156.18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1">
        <f t="shared" si="6"/>
        <v>0</v>
      </c>
      <c r="M124">
        <f t="shared" si="7"/>
        <v>1.0586142036500401</v>
      </c>
    </row>
    <row r="125" spans="1:13">
      <c r="A125">
        <v>2008</v>
      </c>
      <c r="B125">
        <v>6</v>
      </c>
      <c r="C125">
        <v>30</v>
      </c>
      <c r="D125">
        <v>15</v>
      </c>
      <c r="E125">
        <v>145.59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1">
        <f t="shared" si="6"/>
        <v>0</v>
      </c>
      <c r="M125">
        <f t="shared" si="7"/>
        <v>0.98683340958771804</v>
      </c>
    </row>
    <row r="126" spans="1:13">
      <c r="A126">
        <v>2008</v>
      </c>
      <c r="B126">
        <v>6</v>
      </c>
      <c r="C126">
        <v>30</v>
      </c>
      <c r="D126">
        <v>16</v>
      </c>
      <c r="E126">
        <v>140.19999999999999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1">
        <f t="shared" si="6"/>
        <v>0</v>
      </c>
      <c r="M126">
        <f t="shared" si="7"/>
        <v>0.95029908664192597</v>
      </c>
    </row>
    <row r="127" spans="1:13">
      <c r="A127">
        <v>2008</v>
      </c>
      <c r="B127">
        <v>6</v>
      </c>
      <c r="C127">
        <v>30</v>
      </c>
      <c r="D127">
        <v>17</v>
      </c>
      <c r="E127">
        <v>144</v>
      </c>
      <c r="F127">
        <v>0</v>
      </c>
      <c r="G127">
        <v>0.5</v>
      </c>
      <c r="H127">
        <v>0</v>
      </c>
      <c r="I127">
        <v>0</v>
      </c>
      <c r="J127">
        <v>0</v>
      </c>
      <c r="K127">
        <v>0</v>
      </c>
      <c r="L127" s="1">
        <f t="shared" si="6"/>
        <v>0.15063159341538701</v>
      </c>
      <c r="M127">
        <f t="shared" si="7"/>
        <v>0.97605612322708601</v>
      </c>
    </row>
    <row r="128" spans="1:13">
      <c r="A128">
        <v>2008</v>
      </c>
      <c r="B128">
        <v>6</v>
      </c>
      <c r="C128">
        <v>30</v>
      </c>
      <c r="D128">
        <v>18</v>
      </c>
      <c r="E128">
        <v>157.78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s="1">
        <f t="shared" si="6"/>
        <v>0</v>
      </c>
      <c r="M128">
        <f t="shared" si="7"/>
        <v>1.0694592716858999</v>
      </c>
    </row>
    <row r="129" spans="1:13">
      <c r="A129">
        <v>2008</v>
      </c>
      <c r="B129">
        <v>6</v>
      </c>
      <c r="C129">
        <v>30</v>
      </c>
      <c r="D129">
        <v>19</v>
      </c>
      <c r="E129">
        <v>169.62</v>
      </c>
      <c r="F129">
        <v>1.5</v>
      </c>
      <c r="G129">
        <v>0.83</v>
      </c>
      <c r="H129">
        <v>0</v>
      </c>
      <c r="I129">
        <v>0</v>
      </c>
      <c r="J129">
        <v>0</v>
      </c>
      <c r="K129">
        <v>0.5</v>
      </c>
      <c r="L129" s="1">
        <f t="shared" si="6"/>
        <v>0.66026785058659399</v>
      </c>
      <c r="M129">
        <f t="shared" si="7"/>
        <v>1.1497127751512399</v>
      </c>
    </row>
    <row r="130" spans="1:13">
      <c r="A130">
        <v>2008</v>
      </c>
      <c r="B130">
        <v>6</v>
      </c>
      <c r="C130">
        <v>30</v>
      </c>
      <c r="D130">
        <v>20</v>
      </c>
      <c r="E130">
        <v>164.4</v>
      </c>
      <c r="F130">
        <v>0</v>
      </c>
      <c r="G130">
        <v>1.67</v>
      </c>
      <c r="H130">
        <v>1</v>
      </c>
      <c r="I130">
        <v>2</v>
      </c>
      <c r="J130">
        <v>0</v>
      </c>
      <c r="K130">
        <v>7</v>
      </c>
      <c r="L130" s="1">
        <f t="shared" si="6"/>
        <v>1.8741106385222099</v>
      </c>
      <c r="M130">
        <f t="shared" si="7"/>
        <v>1.11433074068426</v>
      </c>
    </row>
    <row r="131" spans="1:13">
      <c r="A131">
        <v>2008</v>
      </c>
      <c r="B131">
        <v>6</v>
      </c>
      <c r="C131">
        <v>30</v>
      </c>
      <c r="D131">
        <v>21</v>
      </c>
      <c r="E131">
        <v>127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s="1">
        <f t="shared" si="6"/>
        <v>0</v>
      </c>
      <c r="M131">
        <f t="shared" si="7"/>
        <v>0.86082727534611003</v>
      </c>
    </row>
    <row r="138" spans="1:13">
      <c r="L138">
        <f>SUM(L4:L131)</f>
        <v>433.39844158631701</v>
      </c>
      <c r="M138">
        <f>SUM(M4:M131)</f>
        <v>297.141646755799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M66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2009</v>
      </c>
      <c r="B4">
        <v>4</v>
      </c>
      <c r="C4">
        <v>23</v>
      </c>
      <c r="D4">
        <v>21</v>
      </c>
      <c r="E4">
        <v>14.4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">
        <f>F4*$F$2+G4*$G$2+H4*$H$2+I4*$I$2+J4*$J$2+K4*$K$2</f>
        <v>0</v>
      </c>
      <c r="M4">
        <f>E4*3600/(1000*$L$1)</f>
        <v>9.7605612322708604E-2</v>
      </c>
    </row>
    <row r="5" spans="1:13">
      <c r="A5">
        <v>2009</v>
      </c>
      <c r="B5">
        <v>4</v>
      </c>
      <c r="C5">
        <v>23</v>
      </c>
      <c r="D5">
        <v>22</v>
      </c>
      <c r="E5">
        <v>12.8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f t="shared" ref="L5:L36" si="0">F5*$F$2+G5*$G$2+H5*$H$2+I5*$I$2+J5*$J$2+K5*$K$2</f>
        <v>0</v>
      </c>
      <c r="M5">
        <f t="shared" ref="M5:M36" si="1">E5*3600/(1000*$L$1)</f>
        <v>8.6760544286852107E-2</v>
      </c>
    </row>
    <row r="6" spans="1:13">
      <c r="A6">
        <v>2009</v>
      </c>
      <c r="B6">
        <v>4</v>
      </c>
      <c r="C6">
        <v>23</v>
      </c>
      <c r="D6">
        <v>23</v>
      </c>
      <c r="E6">
        <v>13.23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f t="shared" si="0"/>
        <v>0</v>
      </c>
      <c r="M6">
        <f t="shared" si="1"/>
        <v>8.9675156321488494E-2</v>
      </c>
    </row>
    <row r="7" spans="1:13">
      <c r="A7">
        <v>2009</v>
      </c>
      <c r="B7">
        <v>4</v>
      </c>
      <c r="C7">
        <v>24</v>
      </c>
      <c r="D7">
        <v>0</v>
      </c>
      <c r="E7">
        <v>14.4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">
        <f t="shared" si="0"/>
        <v>0</v>
      </c>
      <c r="M7">
        <f t="shared" si="1"/>
        <v>9.7605612322708604E-2</v>
      </c>
    </row>
    <row r="8" spans="1:13">
      <c r="A8">
        <v>2009</v>
      </c>
      <c r="B8">
        <v>4</v>
      </c>
      <c r="C8">
        <v>24</v>
      </c>
      <c r="D8">
        <v>1</v>
      </c>
      <c r="E8">
        <v>15.27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">
        <f t="shared" si="0"/>
        <v>0</v>
      </c>
      <c r="M8">
        <f t="shared" si="1"/>
        <v>0.103502618067206</v>
      </c>
    </row>
    <row r="9" spans="1:13">
      <c r="A9">
        <v>2009</v>
      </c>
      <c r="B9">
        <v>4</v>
      </c>
      <c r="C9">
        <v>24</v>
      </c>
      <c r="D9">
        <v>2</v>
      </c>
      <c r="E9">
        <v>15.69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1">
        <f t="shared" si="0"/>
        <v>0</v>
      </c>
      <c r="M9">
        <f t="shared" si="1"/>
        <v>0.106349448426618</v>
      </c>
    </row>
    <row r="10" spans="1:13">
      <c r="A10">
        <v>2009</v>
      </c>
      <c r="B10">
        <v>4</v>
      </c>
      <c r="C10">
        <v>24</v>
      </c>
      <c r="D10">
        <v>3</v>
      </c>
      <c r="E10">
        <v>15.77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">
        <f t="shared" si="0"/>
        <v>0</v>
      </c>
      <c r="M10">
        <f t="shared" si="1"/>
        <v>0.106891701828411</v>
      </c>
    </row>
    <row r="11" spans="1:13">
      <c r="A11">
        <v>2009</v>
      </c>
      <c r="B11">
        <v>4</v>
      </c>
      <c r="C11">
        <v>24</v>
      </c>
      <c r="D11">
        <v>4</v>
      </c>
      <c r="E11">
        <v>15.6</v>
      </c>
      <c r="F11">
        <v>0.5</v>
      </c>
      <c r="G11">
        <v>0</v>
      </c>
      <c r="H11">
        <v>0</v>
      </c>
      <c r="I11">
        <v>0</v>
      </c>
      <c r="J11">
        <v>0</v>
      </c>
      <c r="K11">
        <v>0</v>
      </c>
      <c r="L11" s="1">
        <f t="shared" si="0"/>
        <v>0.114033254442995</v>
      </c>
      <c r="M11">
        <f t="shared" si="1"/>
        <v>0.10573941334960101</v>
      </c>
    </row>
    <row r="12" spans="1:13">
      <c r="A12">
        <v>2009</v>
      </c>
      <c r="B12">
        <v>4</v>
      </c>
      <c r="C12">
        <v>24</v>
      </c>
      <c r="D12">
        <v>5</v>
      </c>
      <c r="E12">
        <v>15.31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1">
        <f t="shared" si="0"/>
        <v>0</v>
      </c>
      <c r="M12">
        <f t="shared" si="1"/>
        <v>0.103773744768102</v>
      </c>
    </row>
    <row r="13" spans="1:13">
      <c r="A13">
        <v>2009</v>
      </c>
      <c r="B13">
        <v>4</v>
      </c>
      <c r="C13">
        <v>24</v>
      </c>
      <c r="D13">
        <v>6</v>
      </c>
      <c r="E13">
        <v>15.2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">
        <f t="shared" si="0"/>
        <v>0</v>
      </c>
      <c r="M13">
        <f t="shared" si="1"/>
        <v>0.10302814634063701</v>
      </c>
    </row>
    <row r="14" spans="1:13">
      <c r="A14">
        <v>2009</v>
      </c>
      <c r="B14">
        <v>4</v>
      </c>
      <c r="C14">
        <v>24</v>
      </c>
      <c r="D14">
        <v>7</v>
      </c>
      <c r="E14">
        <v>15.6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">
        <f t="shared" si="0"/>
        <v>0</v>
      </c>
      <c r="M14">
        <f t="shared" si="1"/>
        <v>0.10573941334960101</v>
      </c>
    </row>
    <row r="15" spans="1:13">
      <c r="A15">
        <v>2009</v>
      </c>
      <c r="B15">
        <v>4</v>
      </c>
      <c r="C15">
        <v>24</v>
      </c>
      <c r="D15">
        <v>8</v>
      </c>
      <c r="E15">
        <v>16.5</v>
      </c>
      <c r="F15">
        <v>0.5</v>
      </c>
      <c r="G15">
        <v>0</v>
      </c>
      <c r="H15">
        <v>0</v>
      </c>
      <c r="I15">
        <v>0</v>
      </c>
      <c r="J15">
        <v>0</v>
      </c>
      <c r="K15">
        <v>0</v>
      </c>
      <c r="L15" s="1">
        <f t="shared" si="0"/>
        <v>0.114033254442995</v>
      </c>
      <c r="M15">
        <f t="shared" si="1"/>
        <v>0.11183976411976999</v>
      </c>
    </row>
    <row r="16" spans="1:13">
      <c r="A16">
        <v>2009</v>
      </c>
      <c r="B16">
        <v>4</v>
      </c>
      <c r="C16">
        <v>24</v>
      </c>
      <c r="D16">
        <v>9</v>
      </c>
      <c r="E16">
        <v>16.899999999999999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f t="shared" si="0"/>
        <v>0</v>
      </c>
      <c r="M16">
        <f t="shared" si="1"/>
        <v>0.11455103112873399</v>
      </c>
    </row>
    <row r="17" spans="1:13">
      <c r="A17">
        <v>2009</v>
      </c>
      <c r="B17">
        <v>4</v>
      </c>
      <c r="C17">
        <v>24</v>
      </c>
      <c r="D17">
        <v>10</v>
      </c>
      <c r="E17">
        <v>16.899999999999999</v>
      </c>
      <c r="F17">
        <v>0</v>
      </c>
      <c r="G17">
        <v>0</v>
      </c>
      <c r="H17">
        <v>0</v>
      </c>
      <c r="I17">
        <v>0</v>
      </c>
      <c r="J17">
        <v>0</v>
      </c>
      <c r="K17">
        <v>0.5</v>
      </c>
      <c r="L17" s="1">
        <f t="shared" si="0"/>
        <v>6.8119642188068E-2</v>
      </c>
      <c r="M17">
        <f t="shared" si="1"/>
        <v>0.11455103112873399</v>
      </c>
    </row>
    <row r="18" spans="1:13">
      <c r="A18">
        <v>2009</v>
      </c>
      <c r="B18">
        <v>4</v>
      </c>
      <c r="C18">
        <v>24</v>
      </c>
      <c r="D18">
        <v>11</v>
      </c>
      <c r="E18">
        <v>16.86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1">
        <f t="shared" si="0"/>
        <v>0</v>
      </c>
      <c r="M18">
        <f t="shared" si="1"/>
        <v>0.114279904427838</v>
      </c>
    </row>
    <row r="19" spans="1:13">
      <c r="A19">
        <v>2009</v>
      </c>
      <c r="B19">
        <v>4</v>
      </c>
      <c r="C19">
        <v>24</v>
      </c>
      <c r="D19">
        <v>12</v>
      </c>
      <c r="E19">
        <v>11.7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1">
        <f t="shared" si="0"/>
        <v>0</v>
      </c>
      <c r="M19">
        <f t="shared" si="1"/>
        <v>7.9304560012200695E-2</v>
      </c>
    </row>
    <row r="20" spans="1:13">
      <c r="A20">
        <v>2009</v>
      </c>
      <c r="B20">
        <v>4</v>
      </c>
      <c r="C20">
        <v>24</v>
      </c>
      <c r="D20">
        <v>13</v>
      </c>
      <c r="E20">
        <v>6.09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f t="shared" si="0"/>
        <v>0</v>
      </c>
      <c r="M20">
        <f t="shared" si="1"/>
        <v>4.1279040211478803E-2</v>
      </c>
    </row>
    <row r="21" spans="1:13">
      <c r="A21">
        <v>2009</v>
      </c>
      <c r="B21">
        <v>4</v>
      </c>
      <c r="C21">
        <v>24</v>
      </c>
      <c r="D21">
        <v>14</v>
      </c>
      <c r="E21">
        <v>7.95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f t="shared" si="0"/>
        <v>0</v>
      </c>
      <c r="M21">
        <f t="shared" si="1"/>
        <v>5.3886431803162001E-2</v>
      </c>
    </row>
    <row r="22" spans="1:13">
      <c r="A22">
        <v>2009</v>
      </c>
      <c r="B22">
        <v>4</v>
      </c>
      <c r="C22">
        <v>24</v>
      </c>
      <c r="D22">
        <v>15</v>
      </c>
      <c r="E22">
        <v>9.65</v>
      </c>
      <c r="F22">
        <v>1</v>
      </c>
      <c r="G22">
        <v>0</v>
      </c>
      <c r="H22">
        <v>0</v>
      </c>
      <c r="I22">
        <v>0.5</v>
      </c>
      <c r="J22">
        <v>0</v>
      </c>
      <c r="K22">
        <v>0</v>
      </c>
      <c r="L22" s="1">
        <f t="shared" si="0"/>
        <v>0.293656576611179</v>
      </c>
      <c r="M22">
        <f t="shared" si="1"/>
        <v>6.5409316591259606E-2</v>
      </c>
    </row>
    <row r="23" spans="1:13">
      <c r="A23">
        <v>2009</v>
      </c>
      <c r="B23">
        <v>4</v>
      </c>
      <c r="C23">
        <v>24</v>
      </c>
      <c r="D23">
        <v>16</v>
      </c>
      <c r="E23">
        <v>15.56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1">
        <f t="shared" si="0"/>
        <v>0</v>
      </c>
      <c r="M23">
        <f t="shared" si="1"/>
        <v>0.105468286648705</v>
      </c>
    </row>
    <row r="24" spans="1:13">
      <c r="A24">
        <v>2009</v>
      </c>
      <c r="B24">
        <v>4</v>
      </c>
      <c r="C24">
        <v>24</v>
      </c>
      <c r="D24">
        <v>17</v>
      </c>
      <c r="E24">
        <v>20.02</v>
      </c>
      <c r="F24">
        <v>0.5</v>
      </c>
      <c r="G24">
        <v>0.33</v>
      </c>
      <c r="H24">
        <v>0</v>
      </c>
      <c r="I24">
        <v>0</v>
      </c>
      <c r="J24">
        <v>0.42</v>
      </c>
      <c r="K24">
        <v>0</v>
      </c>
      <c r="L24" s="1">
        <f t="shared" si="0"/>
        <v>0.23372981847690799</v>
      </c>
      <c r="M24">
        <f t="shared" si="1"/>
        <v>0.13569891379865501</v>
      </c>
    </row>
    <row r="25" spans="1:13">
      <c r="A25">
        <v>2009</v>
      </c>
      <c r="B25">
        <v>4</v>
      </c>
      <c r="C25">
        <v>24</v>
      </c>
      <c r="D25">
        <v>18</v>
      </c>
      <c r="E25">
        <v>20.91</v>
      </c>
      <c r="F25">
        <v>1</v>
      </c>
      <c r="G25">
        <v>0.67</v>
      </c>
      <c r="H25">
        <v>0.33</v>
      </c>
      <c r="I25">
        <v>0.5</v>
      </c>
      <c r="J25">
        <v>0.83</v>
      </c>
      <c r="K25">
        <v>0.33</v>
      </c>
      <c r="L25" s="1">
        <f t="shared" si="0"/>
        <v>0.631677182240448</v>
      </c>
      <c r="M25">
        <f t="shared" si="1"/>
        <v>0.14173148289359999</v>
      </c>
    </row>
    <row r="26" spans="1:13">
      <c r="A26">
        <v>2009</v>
      </c>
      <c r="B26">
        <v>4</v>
      </c>
      <c r="C26">
        <v>24</v>
      </c>
      <c r="D26">
        <v>19</v>
      </c>
      <c r="E26">
        <v>19.41</v>
      </c>
      <c r="F26">
        <v>0</v>
      </c>
      <c r="G26">
        <v>0</v>
      </c>
      <c r="H26">
        <v>0.67</v>
      </c>
      <c r="I26">
        <v>1</v>
      </c>
      <c r="J26">
        <v>1.25</v>
      </c>
      <c r="K26">
        <v>0.67</v>
      </c>
      <c r="L26" s="1">
        <f t="shared" si="0"/>
        <v>0.38664386566425102</v>
      </c>
      <c r="M26">
        <f t="shared" si="1"/>
        <v>0.13156423160998401</v>
      </c>
    </row>
    <row r="27" spans="1:13">
      <c r="A27">
        <v>2009</v>
      </c>
      <c r="B27">
        <v>4</v>
      </c>
      <c r="C27">
        <v>24</v>
      </c>
      <c r="D27">
        <v>20</v>
      </c>
      <c r="E27">
        <v>16.71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f t="shared" si="0"/>
        <v>0</v>
      </c>
      <c r="M27">
        <f t="shared" si="1"/>
        <v>0.11326317929947601</v>
      </c>
    </row>
    <row r="28" spans="1:13">
      <c r="A28">
        <v>2009</v>
      </c>
      <c r="B28">
        <v>4</v>
      </c>
      <c r="C28">
        <v>24</v>
      </c>
      <c r="D28">
        <v>21</v>
      </c>
      <c r="E28">
        <v>14.01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f t="shared" si="0"/>
        <v>0</v>
      </c>
      <c r="M28">
        <f t="shared" si="1"/>
        <v>9.4962126988968498E-2</v>
      </c>
    </row>
    <row r="29" spans="1:13">
      <c r="A29">
        <v>2009</v>
      </c>
      <c r="B29">
        <v>4</v>
      </c>
      <c r="C29">
        <v>24</v>
      </c>
      <c r="D29">
        <v>22</v>
      </c>
      <c r="E29">
        <v>12.5</v>
      </c>
      <c r="F29">
        <v>0.5</v>
      </c>
      <c r="G29">
        <v>0</v>
      </c>
      <c r="H29">
        <v>0.5</v>
      </c>
      <c r="I29">
        <v>0</v>
      </c>
      <c r="J29">
        <v>0</v>
      </c>
      <c r="K29">
        <v>0</v>
      </c>
      <c r="L29" s="1">
        <f t="shared" si="0"/>
        <v>0.191516181933547</v>
      </c>
      <c r="M29">
        <f t="shared" si="1"/>
        <v>8.4727094030128999E-2</v>
      </c>
    </row>
    <row r="30" spans="1:13">
      <c r="A30">
        <v>2009</v>
      </c>
      <c r="B30">
        <v>4</v>
      </c>
      <c r="C30">
        <v>24</v>
      </c>
      <c r="D30">
        <v>23</v>
      </c>
      <c r="E30">
        <v>12.5</v>
      </c>
      <c r="F30">
        <v>0</v>
      </c>
      <c r="G30">
        <v>0</v>
      </c>
      <c r="H30">
        <v>0</v>
      </c>
      <c r="I30">
        <v>0.5</v>
      </c>
      <c r="J30">
        <v>0</v>
      </c>
      <c r="K30">
        <v>0</v>
      </c>
      <c r="L30" s="1">
        <f t="shared" si="0"/>
        <v>6.5590067725190507E-2</v>
      </c>
      <c r="M30">
        <f t="shared" si="1"/>
        <v>8.4727094030128999E-2</v>
      </c>
    </row>
    <row r="31" spans="1:13">
      <c r="A31">
        <v>2009</v>
      </c>
      <c r="B31">
        <v>4</v>
      </c>
      <c r="C31">
        <v>25</v>
      </c>
      <c r="D31">
        <v>0</v>
      </c>
      <c r="E31">
        <v>14</v>
      </c>
      <c r="F31">
        <v>0.33</v>
      </c>
      <c r="G31">
        <v>0.5</v>
      </c>
      <c r="H31">
        <v>0.25</v>
      </c>
      <c r="I31">
        <v>0</v>
      </c>
      <c r="J31">
        <v>0.3</v>
      </c>
      <c r="K31">
        <v>0</v>
      </c>
      <c r="L31" s="1">
        <f t="shared" si="0"/>
        <v>0.27912051393572401</v>
      </c>
      <c r="M31">
        <f t="shared" si="1"/>
        <v>9.4894345313744397E-2</v>
      </c>
    </row>
    <row r="32" spans="1:13">
      <c r="A32">
        <v>2009</v>
      </c>
      <c r="B32">
        <v>4</v>
      </c>
      <c r="C32">
        <v>25</v>
      </c>
      <c r="D32">
        <v>1</v>
      </c>
      <c r="E32">
        <v>22.55</v>
      </c>
      <c r="F32">
        <v>0.67</v>
      </c>
      <c r="G32">
        <v>0</v>
      </c>
      <c r="H32">
        <v>0.5</v>
      </c>
      <c r="I32">
        <v>0.57999999999999996</v>
      </c>
      <c r="J32">
        <v>0.6</v>
      </c>
      <c r="K32">
        <v>0</v>
      </c>
      <c r="L32" s="1">
        <f t="shared" si="0"/>
        <v>0.33534298469075502</v>
      </c>
      <c r="M32">
        <f t="shared" si="1"/>
        <v>0.15284767763035301</v>
      </c>
    </row>
    <row r="33" spans="1:13">
      <c r="A33">
        <v>2009</v>
      </c>
      <c r="B33">
        <v>4</v>
      </c>
      <c r="C33">
        <v>25</v>
      </c>
      <c r="D33">
        <v>2</v>
      </c>
      <c r="E33">
        <v>23.59</v>
      </c>
      <c r="F33">
        <v>1</v>
      </c>
      <c r="G33">
        <v>1</v>
      </c>
      <c r="H33">
        <v>0.75</v>
      </c>
      <c r="I33">
        <v>1.17</v>
      </c>
      <c r="J33">
        <v>0.9</v>
      </c>
      <c r="K33">
        <v>1.17</v>
      </c>
      <c r="L33" s="1">
        <f t="shared" si="0"/>
        <v>1.0018913346776701</v>
      </c>
      <c r="M33">
        <f t="shared" si="1"/>
        <v>0.159896971853659</v>
      </c>
    </row>
    <row r="34" spans="1:13">
      <c r="A34">
        <v>2009</v>
      </c>
      <c r="B34">
        <v>4</v>
      </c>
      <c r="C34">
        <v>25</v>
      </c>
      <c r="D34">
        <v>3</v>
      </c>
      <c r="E34">
        <v>16.850000000000001</v>
      </c>
      <c r="F34">
        <v>6.5</v>
      </c>
      <c r="G34">
        <v>4</v>
      </c>
      <c r="H34">
        <v>1</v>
      </c>
      <c r="I34">
        <v>1.75</v>
      </c>
      <c r="J34">
        <v>1.2</v>
      </c>
      <c r="K34">
        <v>2.33</v>
      </c>
      <c r="L34" s="1">
        <f t="shared" si="0"/>
        <v>3.44739571506843</v>
      </c>
      <c r="M34">
        <f t="shared" si="1"/>
        <v>0.114212122752614</v>
      </c>
    </row>
    <row r="35" spans="1:13">
      <c r="A35">
        <v>2009</v>
      </c>
      <c r="B35">
        <v>4</v>
      </c>
      <c r="C35">
        <v>25</v>
      </c>
      <c r="D35">
        <v>4</v>
      </c>
      <c r="E35">
        <v>14.24</v>
      </c>
      <c r="F35">
        <v>8.5</v>
      </c>
      <c r="G35">
        <v>18.5</v>
      </c>
      <c r="H35">
        <v>7.5</v>
      </c>
      <c r="I35">
        <v>16.5</v>
      </c>
      <c r="J35">
        <v>18.5</v>
      </c>
      <c r="K35">
        <v>6</v>
      </c>
      <c r="L35" s="1">
        <f t="shared" si="0"/>
        <v>12.549359180745499</v>
      </c>
      <c r="M35">
        <f t="shared" si="1"/>
        <v>9.6521105519122893E-2</v>
      </c>
    </row>
    <row r="36" spans="1:13">
      <c r="A36">
        <v>2009</v>
      </c>
      <c r="B36">
        <v>4</v>
      </c>
      <c r="C36">
        <v>25</v>
      </c>
      <c r="D36">
        <v>5</v>
      </c>
      <c r="E36">
        <v>27.8</v>
      </c>
      <c r="F36">
        <v>6.5</v>
      </c>
      <c r="G36">
        <v>20.5</v>
      </c>
      <c r="H36">
        <v>25.5</v>
      </c>
      <c r="I36">
        <v>25</v>
      </c>
      <c r="J36">
        <v>20</v>
      </c>
      <c r="K36">
        <v>12</v>
      </c>
      <c r="L36" s="1">
        <f t="shared" si="0"/>
        <v>17.490032328093399</v>
      </c>
      <c r="M36">
        <f t="shared" si="1"/>
        <v>0.18843305712300701</v>
      </c>
    </row>
    <row r="37" spans="1:13">
      <c r="A37">
        <v>2009</v>
      </c>
      <c r="B37">
        <v>4</v>
      </c>
      <c r="C37">
        <v>25</v>
      </c>
      <c r="D37">
        <v>6</v>
      </c>
      <c r="E37">
        <v>35</v>
      </c>
      <c r="F37">
        <v>7.5</v>
      </c>
      <c r="G37">
        <v>6.5</v>
      </c>
      <c r="H37">
        <v>5.5</v>
      </c>
      <c r="I37">
        <v>5.5</v>
      </c>
      <c r="J37">
        <v>11</v>
      </c>
      <c r="K37">
        <v>3.5</v>
      </c>
      <c r="L37" s="1">
        <f t="shared" ref="L37:L62" si="2">F37*$F$2+G37*$G$2+H37*$H$2+I37*$I$2+J37*$J$2+K37*$K$2</f>
        <v>6.2504852979663603</v>
      </c>
      <c r="M37">
        <f t="shared" ref="M37:M62" si="3">E37*3600/(1000*$L$1)</f>
        <v>0.237235863284361</v>
      </c>
    </row>
    <row r="38" spans="1:13">
      <c r="A38">
        <v>2009</v>
      </c>
      <c r="B38">
        <v>4</v>
      </c>
      <c r="C38">
        <v>25</v>
      </c>
      <c r="D38">
        <v>7</v>
      </c>
      <c r="E38">
        <v>53.19</v>
      </c>
      <c r="F38">
        <v>5</v>
      </c>
      <c r="G38">
        <v>6</v>
      </c>
      <c r="H38">
        <v>5</v>
      </c>
      <c r="I38">
        <v>4</v>
      </c>
      <c r="J38">
        <v>3</v>
      </c>
      <c r="K38">
        <v>7</v>
      </c>
      <c r="L38" s="1">
        <f t="shared" si="2"/>
        <v>5.3459915611814397</v>
      </c>
      <c r="M38">
        <f t="shared" si="3"/>
        <v>0.36053073051700502</v>
      </c>
    </row>
    <row r="39" spans="1:13">
      <c r="A39">
        <v>2009</v>
      </c>
      <c r="B39">
        <v>4</v>
      </c>
      <c r="C39">
        <v>25</v>
      </c>
      <c r="D39">
        <v>8</v>
      </c>
      <c r="E39">
        <v>65.400000000000006</v>
      </c>
      <c r="F39">
        <v>0.5</v>
      </c>
      <c r="G39">
        <v>2.5</v>
      </c>
      <c r="H39">
        <v>5.5</v>
      </c>
      <c r="I39">
        <v>3</v>
      </c>
      <c r="J39">
        <v>3</v>
      </c>
      <c r="K39">
        <v>0.5</v>
      </c>
      <c r="L39" s="1">
        <f t="shared" si="2"/>
        <v>2.32601856088207</v>
      </c>
      <c r="M39">
        <f t="shared" si="3"/>
        <v>0.44329215596563498</v>
      </c>
    </row>
    <row r="40" spans="1:13">
      <c r="A40">
        <v>2009</v>
      </c>
      <c r="B40">
        <v>4</v>
      </c>
      <c r="C40">
        <v>25</v>
      </c>
      <c r="D40">
        <v>9</v>
      </c>
      <c r="E40">
        <v>18.399999999999999</v>
      </c>
      <c r="F40">
        <v>0</v>
      </c>
      <c r="G40">
        <v>2</v>
      </c>
      <c r="H40">
        <v>1.83</v>
      </c>
      <c r="I40">
        <v>1</v>
      </c>
      <c r="J40">
        <v>1</v>
      </c>
      <c r="K40">
        <v>0.47</v>
      </c>
      <c r="L40" s="1">
        <f t="shared" si="2"/>
        <v>1.12961151685975</v>
      </c>
      <c r="M40">
        <f t="shared" si="3"/>
        <v>0.12471828241235</v>
      </c>
    </row>
    <row r="41" spans="1:13">
      <c r="A41">
        <v>2009</v>
      </c>
      <c r="B41">
        <v>4</v>
      </c>
      <c r="C41">
        <v>25</v>
      </c>
      <c r="D41">
        <v>10</v>
      </c>
      <c r="E41">
        <v>172</v>
      </c>
      <c r="F41">
        <v>0</v>
      </c>
      <c r="G41">
        <v>0</v>
      </c>
      <c r="H41">
        <v>1.83</v>
      </c>
      <c r="I41">
        <v>0</v>
      </c>
      <c r="J41">
        <v>0</v>
      </c>
      <c r="K41">
        <v>0.79</v>
      </c>
      <c r="L41" s="1">
        <f t="shared" si="2"/>
        <v>0.39121654927257099</v>
      </c>
      <c r="M41">
        <f t="shared" si="3"/>
        <v>1.1658448138545701</v>
      </c>
    </row>
    <row r="42" spans="1:13">
      <c r="A42">
        <v>2009</v>
      </c>
      <c r="B42">
        <v>4</v>
      </c>
      <c r="C42">
        <v>25</v>
      </c>
      <c r="D42">
        <v>11</v>
      </c>
      <c r="E42">
        <v>111.11</v>
      </c>
      <c r="F42">
        <v>0.3</v>
      </c>
      <c r="G42">
        <v>8.5</v>
      </c>
      <c r="H42">
        <v>1.83</v>
      </c>
      <c r="I42">
        <v>0.83</v>
      </c>
      <c r="J42">
        <v>0.5</v>
      </c>
      <c r="K42">
        <v>1.1000000000000001</v>
      </c>
      <c r="L42" s="1">
        <f t="shared" si="2"/>
        <v>3.1956297953181698</v>
      </c>
      <c r="M42">
        <f t="shared" si="3"/>
        <v>0.75312219341500997</v>
      </c>
    </row>
    <row r="43" spans="1:13">
      <c r="A43">
        <v>2009</v>
      </c>
      <c r="B43">
        <v>4</v>
      </c>
      <c r="C43">
        <v>25</v>
      </c>
      <c r="D43">
        <v>12</v>
      </c>
      <c r="E43">
        <v>80.2</v>
      </c>
      <c r="F43">
        <v>0.6</v>
      </c>
      <c r="G43">
        <v>1.5</v>
      </c>
      <c r="H43">
        <v>3.5</v>
      </c>
      <c r="I43">
        <v>1.67</v>
      </c>
      <c r="J43">
        <v>0</v>
      </c>
      <c r="K43">
        <v>1.41</v>
      </c>
      <c r="L43" s="1">
        <f t="shared" si="2"/>
        <v>1.54228339518411</v>
      </c>
      <c r="M43">
        <f t="shared" si="3"/>
        <v>0.54360903529730698</v>
      </c>
    </row>
    <row r="44" spans="1:13">
      <c r="A44">
        <v>2009</v>
      </c>
      <c r="B44">
        <v>4</v>
      </c>
      <c r="C44">
        <v>25</v>
      </c>
      <c r="D44">
        <v>13</v>
      </c>
      <c r="E44">
        <v>86.63</v>
      </c>
      <c r="F44">
        <v>0.9</v>
      </c>
      <c r="G44">
        <v>0</v>
      </c>
      <c r="H44">
        <v>0.94</v>
      </c>
      <c r="I44">
        <v>0</v>
      </c>
      <c r="J44">
        <v>1</v>
      </c>
      <c r="K44">
        <v>1.73</v>
      </c>
      <c r="L44" s="1">
        <f t="shared" si="2"/>
        <v>0.63490675312596001</v>
      </c>
      <c r="M44">
        <f t="shared" si="3"/>
        <v>0.58719265246640595</v>
      </c>
    </row>
    <row r="45" spans="1:13">
      <c r="A45">
        <v>2009</v>
      </c>
      <c r="B45">
        <v>4</v>
      </c>
      <c r="C45">
        <v>25</v>
      </c>
      <c r="D45">
        <v>14</v>
      </c>
      <c r="E45">
        <v>84.74</v>
      </c>
      <c r="F45">
        <v>1.2</v>
      </c>
      <c r="G45">
        <v>0.33</v>
      </c>
      <c r="H45">
        <v>0.56000000000000005</v>
      </c>
      <c r="I45">
        <v>0.5</v>
      </c>
      <c r="J45">
        <v>0</v>
      </c>
      <c r="K45">
        <v>0</v>
      </c>
      <c r="L45" s="1">
        <f t="shared" si="2"/>
        <v>0.52546760883195198</v>
      </c>
      <c r="M45">
        <f t="shared" si="3"/>
        <v>0.57438191584904996</v>
      </c>
    </row>
    <row r="46" spans="1:13">
      <c r="A46">
        <v>2009</v>
      </c>
      <c r="B46">
        <v>4</v>
      </c>
      <c r="C46">
        <v>25</v>
      </c>
      <c r="D46">
        <v>15</v>
      </c>
      <c r="E46">
        <v>78.03</v>
      </c>
      <c r="F46">
        <v>1.5</v>
      </c>
      <c r="G46">
        <v>0.67</v>
      </c>
      <c r="H46">
        <v>0</v>
      </c>
      <c r="I46">
        <v>0</v>
      </c>
      <c r="J46">
        <v>0</v>
      </c>
      <c r="K46">
        <v>0</v>
      </c>
      <c r="L46" s="1">
        <f t="shared" si="2"/>
        <v>0.54394609850560205</v>
      </c>
      <c r="M46">
        <f t="shared" si="3"/>
        <v>0.52890041177367697</v>
      </c>
    </row>
    <row r="47" spans="1:13">
      <c r="A47">
        <v>2009</v>
      </c>
      <c r="B47">
        <v>4</v>
      </c>
      <c r="C47">
        <v>25</v>
      </c>
      <c r="D47">
        <v>16</v>
      </c>
      <c r="E47">
        <v>70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1">
        <f t="shared" si="2"/>
        <v>0</v>
      </c>
      <c r="M47">
        <f t="shared" si="3"/>
        <v>0.474471726568722</v>
      </c>
    </row>
    <row r="48" spans="1:13">
      <c r="A48">
        <v>2009</v>
      </c>
      <c r="B48">
        <v>4</v>
      </c>
      <c r="C48">
        <v>25</v>
      </c>
      <c r="D48">
        <v>17</v>
      </c>
      <c r="E48">
        <v>63.48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1">
        <f t="shared" si="2"/>
        <v>0</v>
      </c>
      <c r="M48">
        <f t="shared" si="3"/>
        <v>0.43027807432260701</v>
      </c>
    </row>
    <row r="49" spans="1:13">
      <c r="A49">
        <v>2009</v>
      </c>
      <c r="B49">
        <v>4</v>
      </c>
      <c r="C49">
        <v>25</v>
      </c>
      <c r="D49">
        <v>18</v>
      </c>
      <c r="E49">
        <v>58.73</v>
      </c>
      <c r="F49">
        <v>0.5</v>
      </c>
      <c r="G49">
        <v>0</v>
      </c>
      <c r="H49">
        <v>0</v>
      </c>
      <c r="I49">
        <v>0</v>
      </c>
      <c r="J49">
        <v>0</v>
      </c>
      <c r="K49">
        <v>0</v>
      </c>
      <c r="L49" s="1">
        <f t="shared" si="2"/>
        <v>0.114033254442995</v>
      </c>
      <c r="M49">
        <f t="shared" si="3"/>
        <v>0.39808177859115801</v>
      </c>
    </row>
    <row r="50" spans="1:13">
      <c r="A50">
        <v>2009</v>
      </c>
      <c r="B50">
        <v>4</v>
      </c>
      <c r="C50">
        <v>25</v>
      </c>
      <c r="D50">
        <v>19</v>
      </c>
      <c r="E50">
        <v>55.35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1">
        <f t="shared" si="2"/>
        <v>0</v>
      </c>
      <c r="M50">
        <f t="shared" si="3"/>
        <v>0.37517157236541099</v>
      </c>
    </row>
    <row r="51" spans="1:13">
      <c r="A51">
        <v>2009</v>
      </c>
      <c r="B51">
        <v>4</v>
      </c>
      <c r="C51">
        <v>25</v>
      </c>
      <c r="D51">
        <v>20</v>
      </c>
      <c r="E51">
        <v>52.93</v>
      </c>
      <c r="F51">
        <v>0</v>
      </c>
      <c r="G51">
        <v>0</v>
      </c>
      <c r="H51">
        <v>0.5</v>
      </c>
      <c r="I51">
        <v>0</v>
      </c>
      <c r="J51">
        <v>0</v>
      </c>
      <c r="K51">
        <v>0</v>
      </c>
      <c r="L51" s="1">
        <f t="shared" si="2"/>
        <v>7.7482927490552994E-2</v>
      </c>
      <c r="M51">
        <f t="shared" si="3"/>
        <v>0.35876840696117801</v>
      </c>
    </row>
    <row r="52" spans="1:13">
      <c r="A52">
        <v>2009</v>
      </c>
      <c r="B52">
        <v>4</v>
      </c>
      <c r="C52">
        <v>25</v>
      </c>
      <c r="D52">
        <v>21</v>
      </c>
      <c r="E52">
        <v>51.08</v>
      </c>
      <c r="F52">
        <v>0</v>
      </c>
      <c r="G52">
        <v>0.5</v>
      </c>
      <c r="H52">
        <v>0.6</v>
      </c>
      <c r="I52">
        <v>0</v>
      </c>
      <c r="J52">
        <v>0.5</v>
      </c>
      <c r="K52">
        <v>0</v>
      </c>
      <c r="L52" s="1">
        <f t="shared" si="2"/>
        <v>0.26775362114185802</v>
      </c>
      <c r="M52">
        <f t="shared" si="3"/>
        <v>0.34622879704471898</v>
      </c>
    </row>
    <row r="53" spans="1:13">
      <c r="A53">
        <v>2009</v>
      </c>
      <c r="B53">
        <v>4</v>
      </c>
      <c r="C53">
        <v>25</v>
      </c>
      <c r="D53">
        <v>22</v>
      </c>
      <c r="E53">
        <v>49.39</v>
      </c>
      <c r="F53">
        <v>0</v>
      </c>
      <c r="G53">
        <v>0</v>
      </c>
      <c r="H53">
        <v>0.9</v>
      </c>
      <c r="I53">
        <v>0</v>
      </c>
      <c r="J53">
        <v>0</v>
      </c>
      <c r="K53">
        <v>0</v>
      </c>
      <c r="L53" s="1">
        <f t="shared" si="2"/>
        <v>0.13946926948299501</v>
      </c>
      <c r="M53">
        <f t="shared" si="3"/>
        <v>0.33477369393184597</v>
      </c>
    </row>
    <row r="54" spans="1:13">
      <c r="A54">
        <v>2009</v>
      </c>
      <c r="B54">
        <v>4</v>
      </c>
      <c r="C54">
        <v>25</v>
      </c>
      <c r="D54">
        <v>23</v>
      </c>
      <c r="E54">
        <v>47.46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1">
        <f t="shared" si="2"/>
        <v>0</v>
      </c>
      <c r="M54">
        <f t="shared" si="3"/>
        <v>0.32169183061359402</v>
      </c>
    </row>
    <row r="55" spans="1:13">
      <c r="A55">
        <v>2009</v>
      </c>
      <c r="B55">
        <v>4</v>
      </c>
      <c r="C55">
        <v>26</v>
      </c>
      <c r="D55">
        <v>0</v>
      </c>
      <c r="E55">
        <v>44.9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1">
        <f t="shared" si="2"/>
        <v>0</v>
      </c>
      <c r="M55">
        <f t="shared" si="3"/>
        <v>0.30433972175622298</v>
      </c>
    </row>
    <row r="56" spans="1:13">
      <c r="A56">
        <v>2009</v>
      </c>
      <c r="B56">
        <v>4</v>
      </c>
      <c r="C56">
        <v>26</v>
      </c>
      <c r="D56">
        <v>1</v>
      </c>
      <c r="E56">
        <v>41.46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1">
        <f t="shared" si="2"/>
        <v>0</v>
      </c>
      <c r="M56">
        <f t="shared" si="3"/>
        <v>0.28102282547913199</v>
      </c>
    </row>
    <row r="57" spans="1:13">
      <c r="A57">
        <v>2009</v>
      </c>
      <c r="B57">
        <v>4</v>
      </c>
      <c r="C57">
        <v>26</v>
      </c>
      <c r="D57">
        <v>2</v>
      </c>
      <c r="E57">
        <v>37.58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1">
        <f t="shared" si="2"/>
        <v>0</v>
      </c>
      <c r="M57">
        <f t="shared" si="3"/>
        <v>0.25472353549218002</v>
      </c>
    </row>
    <row r="58" spans="1:13">
      <c r="A58">
        <v>2009</v>
      </c>
      <c r="B58">
        <v>4</v>
      </c>
      <c r="C58">
        <v>26</v>
      </c>
      <c r="D58">
        <v>3</v>
      </c>
      <c r="E58">
        <v>33.82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1">
        <f t="shared" si="2"/>
        <v>0</v>
      </c>
      <c r="M58">
        <f t="shared" si="3"/>
        <v>0.22923762560791699</v>
      </c>
    </row>
    <row r="59" spans="1:13">
      <c r="A59">
        <v>2009</v>
      </c>
      <c r="B59">
        <v>4</v>
      </c>
      <c r="C59">
        <v>26</v>
      </c>
      <c r="D59">
        <v>4</v>
      </c>
      <c r="E59">
        <v>30.79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1">
        <f t="shared" si="2"/>
        <v>0</v>
      </c>
      <c r="M59">
        <f t="shared" si="3"/>
        <v>0.20869977801501399</v>
      </c>
    </row>
    <row r="60" spans="1:13">
      <c r="A60">
        <v>2009</v>
      </c>
      <c r="B60">
        <v>4</v>
      </c>
      <c r="C60">
        <v>26</v>
      </c>
      <c r="D60">
        <v>5</v>
      </c>
      <c r="E60">
        <v>29.07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1">
        <f t="shared" si="2"/>
        <v>0</v>
      </c>
      <c r="M60">
        <f t="shared" si="3"/>
        <v>0.197041329876468</v>
      </c>
    </row>
    <row r="61" spans="1:13">
      <c r="A61">
        <v>2009</v>
      </c>
      <c r="B61">
        <v>4</v>
      </c>
      <c r="C61">
        <v>26</v>
      </c>
      <c r="D61">
        <v>6</v>
      </c>
      <c r="E61">
        <v>29.24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1">
        <f t="shared" si="2"/>
        <v>0</v>
      </c>
      <c r="M61">
        <f t="shared" si="3"/>
        <v>0.19819361835527799</v>
      </c>
    </row>
    <row r="62" spans="1:13">
      <c r="A62">
        <v>2009</v>
      </c>
      <c r="B62">
        <v>4</v>
      </c>
      <c r="C62">
        <v>26</v>
      </c>
      <c r="D62">
        <v>7</v>
      </c>
      <c r="E62">
        <v>31.89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1">
        <f t="shared" si="2"/>
        <v>0</v>
      </c>
      <c r="M62">
        <f t="shared" si="3"/>
        <v>0.21615576228966499</v>
      </c>
    </row>
    <row r="66" spans="12:13">
      <c r="L66">
        <f>SUM(L4:L63)</f>
        <v>59.686438110623399</v>
      </c>
      <c r="M66">
        <f>SUM(M4:M62)</f>
        <v>13.7484283124057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M80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2010</v>
      </c>
      <c r="B4">
        <v>4</v>
      </c>
      <c r="C4">
        <v>21</v>
      </c>
      <c r="D4">
        <v>0</v>
      </c>
      <c r="E4">
        <v>13.4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">
        <f>F4*$F$2+G4*$G$2+H4*$H$2+I4*$I$2+J4*$J$2+K4*$K$2</f>
        <v>0</v>
      </c>
      <c r="M4">
        <f>E4*3600/(1000*$L$1)</f>
        <v>9.0827444800298196E-2</v>
      </c>
    </row>
    <row r="5" spans="1:13">
      <c r="A5">
        <v>2010</v>
      </c>
      <c r="B5">
        <v>4</v>
      </c>
      <c r="C5">
        <v>21</v>
      </c>
      <c r="D5">
        <v>1</v>
      </c>
      <c r="E5">
        <v>15.7</v>
      </c>
      <c r="F5">
        <v>0</v>
      </c>
      <c r="G5">
        <v>0</v>
      </c>
      <c r="H5">
        <v>3</v>
      </c>
      <c r="I5">
        <v>0</v>
      </c>
      <c r="J5">
        <v>0.5</v>
      </c>
      <c r="K5">
        <v>0</v>
      </c>
      <c r="L5" s="1">
        <f t="shared" ref="L5:L36" si="0">F5*$F$2+G5*$G$2+H5*$H$2+I5*$I$2+J5*$J$2+K5*$K$2</f>
        <v>0.48904007968112501</v>
      </c>
      <c r="M5">
        <f t="shared" ref="M5:M36" si="1">E5*3600/(1000*$L$1)</f>
        <v>0.10641723010184199</v>
      </c>
    </row>
    <row r="6" spans="1:13">
      <c r="A6">
        <v>2010</v>
      </c>
      <c r="B6">
        <v>4</v>
      </c>
      <c r="C6">
        <v>21</v>
      </c>
      <c r="D6">
        <v>2</v>
      </c>
      <c r="E6">
        <v>24.14</v>
      </c>
      <c r="F6">
        <v>0</v>
      </c>
      <c r="G6">
        <v>0.33</v>
      </c>
      <c r="H6">
        <v>0.76</v>
      </c>
      <c r="I6">
        <v>0</v>
      </c>
      <c r="J6">
        <v>0</v>
      </c>
      <c r="K6">
        <v>0</v>
      </c>
      <c r="L6" s="1">
        <f t="shared" si="0"/>
        <v>0.217190901439796</v>
      </c>
      <c r="M6">
        <f t="shared" si="1"/>
        <v>0.163624963990985</v>
      </c>
    </row>
    <row r="7" spans="1:13">
      <c r="A7">
        <v>2010</v>
      </c>
      <c r="B7">
        <v>4</v>
      </c>
      <c r="C7">
        <v>21</v>
      </c>
      <c r="D7">
        <v>3</v>
      </c>
      <c r="E7">
        <v>29.56</v>
      </c>
      <c r="F7">
        <v>0.5</v>
      </c>
      <c r="G7">
        <v>0.67</v>
      </c>
      <c r="H7">
        <v>0.67</v>
      </c>
      <c r="I7">
        <v>2.5</v>
      </c>
      <c r="J7">
        <v>0</v>
      </c>
      <c r="K7">
        <v>0.5</v>
      </c>
      <c r="L7" s="1">
        <f t="shared" si="0"/>
        <v>0.81577669327097502</v>
      </c>
      <c r="M7">
        <f t="shared" si="1"/>
        <v>0.20036263196244899</v>
      </c>
    </row>
    <row r="8" spans="1:13">
      <c r="A8">
        <v>2010</v>
      </c>
      <c r="B8">
        <v>4</v>
      </c>
      <c r="C8">
        <v>21</v>
      </c>
      <c r="D8">
        <v>4</v>
      </c>
      <c r="E8">
        <v>27.7</v>
      </c>
      <c r="F8">
        <v>0</v>
      </c>
      <c r="G8">
        <v>0</v>
      </c>
      <c r="H8">
        <v>0.56999999999999995</v>
      </c>
      <c r="I8">
        <v>0</v>
      </c>
      <c r="J8">
        <v>0.5</v>
      </c>
      <c r="K8">
        <v>1</v>
      </c>
      <c r="L8" s="1">
        <f t="shared" si="0"/>
        <v>0.248712336453174</v>
      </c>
      <c r="M8">
        <f t="shared" si="1"/>
        <v>0.18775524037076599</v>
      </c>
    </row>
    <row r="9" spans="1:13">
      <c r="A9">
        <v>2010</v>
      </c>
      <c r="B9">
        <v>4</v>
      </c>
      <c r="C9">
        <v>21</v>
      </c>
      <c r="D9">
        <v>5</v>
      </c>
      <c r="E9">
        <v>29.03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1">
        <f t="shared" si="0"/>
        <v>0</v>
      </c>
      <c r="M9">
        <f t="shared" si="1"/>
        <v>0.19677020317557101</v>
      </c>
    </row>
    <row r="10" spans="1:13">
      <c r="A10">
        <v>2010</v>
      </c>
      <c r="B10">
        <v>4</v>
      </c>
      <c r="C10">
        <v>21</v>
      </c>
      <c r="D10">
        <v>6</v>
      </c>
      <c r="E10">
        <v>27.73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">
        <f t="shared" si="0"/>
        <v>0</v>
      </c>
      <c r="M10">
        <f t="shared" si="1"/>
        <v>0.187958585396438</v>
      </c>
    </row>
    <row r="11" spans="1:13">
      <c r="A11">
        <v>2010</v>
      </c>
      <c r="B11">
        <v>4</v>
      </c>
      <c r="C11">
        <v>21</v>
      </c>
      <c r="D11">
        <v>7</v>
      </c>
      <c r="E11">
        <v>25.43</v>
      </c>
      <c r="F11">
        <v>0</v>
      </c>
      <c r="G11">
        <v>0.33</v>
      </c>
      <c r="H11">
        <v>0</v>
      </c>
      <c r="I11">
        <v>0</v>
      </c>
      <c r="J11">
        <v>0</v>
      </c>
      <c r="K11">
        <v>0</v>
      </c>
      <c r="L11" s="1">
        <f t="shared" si="0"/>
        <v>9.9416851654155397E-2</v>
      </c>
      <c r="M11">
        <f t="shared" si="1"/>
        <v>0.172368800094894</v>
      </c>
    </row>
    <row r="12" spans="1:13">
      <c r="A12">
        <v>2010</v>
      </c>
      <c r="B12">
        <v>4</v>
      </c>
      <c r="C12">
        <v>21</v>
      </c>
      <c r="D12">
        <v>8</v>
      </c>
      <c r="E12">
        <v>17.62</v>
      </c>
      <c r="F12">
        <v>0</v>
      </c>
      <c r="G12">
        <v>0.67</v>
      </c>
      <c r="H12">
        <v>0.5</v>
      </c>
      <c r="I12">
        <v>0.5</v>
      </c>
      <c r="J12">
        <v>0</v>
      </c>
      <c r="K12">
        <v>0</v>
      </c>
      <c r="L12" s="1">
        <f t="shared" si="0"/>
        <v>0.344919330392362</v>
      </c>
      <c r="M12">
        <f t="shared" si="1"/>
        <v>0.11943131174487</v>
      </c>
    </row>
    <row r="13" spans="1:13">
      <c r="A13">
        <v>2010</v>
      </c>
      <c r="B13">
        <v>4</v>
      </c>
      <c r="C13">
        <v>21</v>
      </c>
      <c r="D13">
        <v>9</v>
      </c>
      <c r="E13">
        <v>11.59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">
        <f t="shared" si="0"/>
        <v>0</v>
      </c>
      <c r="M13">
        <f t="shared" si="1"/>
        <v>7.8558961584735604E-2</v>
      </c>
    </row>
    <row r="14" spans="1:13">
      <c r="A14">
        <v>2010</v>
      </c>
      <c r="B14">
        <v>4</v>
      </c>
      <c r="C14">
        <v>21</v>
      </c>
      <c r="D14">
        <v>10</v>
      </c>
      <c r="E14">
        <v>10.26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">
        <f t="shared" si="0"/>
        <v>0</v>
      </c>
      <c r="M14">
        <f t="shared" si="1"/>
        <v>6.9543998779929894E-2</v>
      </c>
    </row>
    <row r="15" spans="1:13">
      <c r="A15">
        <v>2010</v>
      </c>
      <c r="B15">
        <v>4</v>
      </c>
      <c r="C15">
        <v>21</v>
      </c>
      <c r="D15">
        <v>11</v>
      </c>
      <c r="E15">
        <v>12.39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1">
        <f t="shared" si="0"/>
        <v>0</v>
      </c>
      <c r="M15">
        <f t="shared" si="1"/>
        <v>8.3981495602663797E-2</v>
      </c>
    </row>
    <row r="16" spans="1:13">
      <c r="A16">
        <v>2010</v>
      </c>
      <c r="B16">
        <v>4</v>
      </c>
      <c r="C16">
        <v>21</v>
      </c>
      <c r="D16">
        <v>12</v>
      </c>
      <c r="E16">
        <v>16.559999999999999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f t="shared" si="0"/>
        <v>0</v>
      </c>
      <c r="M16">
        <f t="shared" si="1"/>
        <v>0.11224645417111501</v>
      </c>
    </row>
    <row r="17" spans="1:13">
      <c r="A17">
        <v>2010</v>
      </c>
      <c r="B17">
        <v>4</v>
      </c>
      <c r="C17">
        <v>21</v>
      </c>
      <c r="D17">
        <v>13</v>
      </c>
      <c r="E17">
        <v>21.4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">
        <f t="shared" si="0"/>
        <v>0</v>
      </c>
      <c r="M17">
        <f t="shared" si="1"/>
        <v>0.14505278497958099</v>
      </c>
    </row>
    <row r="18" spans="1:13">
      <c r="A18">
        <v>2010</v>
      </c>
      <c r="B18">
        <v>4</v>
      </c>
      <c r="C18">
        <v>21</v>
      </c>
      <c r="D18">
        <v>14</v>
      </c>
      <c r="E18">
        <v>25.66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 s="1">
        <f t="shared" si="0"/>
        <v>0.15496585498110599</v>
      </c>
      <c r="M18">
        <f t="shared" si="1"/>
        <v>0.17392777862504899</v>
      </c>
    </row>
    <row r="19" spans="1:13">
      <c r="A19">
        <v>2010</v>
      </c>
      <c r="B19">
        <v>4</v>
      </c>
      <c r="C19">
        <v>21</v>
      </c>
      <c r="D19">
        <v>15</v>
      </c>
      <c r="E19">
        <v>28.71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1">
        <f t="shared" si="0"/>
        <v>0</v>
      </c>
      <c r="M19">
        <f t="shared" si="1"/>
        <v>0.1946011895684</v>
      </c>
    </row>
    <row r="20" spans="1:13">
      <c r="A20">
        <v>2010</v>
      </c>
      <c r="B20">
        <v>4</v>
      </c>
      <c r="C20">
        <v>21</v>
      </c>
      <c r="D20">
        <v>16</v>
      </c>
      <c r="E20">
        <v>30.1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f t="shared" si="0"/>
        <v>0</v>
      </c>
      <c r="M20">
        <f t="shared" si="1"/>
        <v>0.20402284242455099</v>
      </c>
    </row>
    <row r="21" spans="1:13">
      <c r="A21">
        <v>2010</v>
      </c>
      <c r="B21">
        <v>4</v>
      </c>
      <c r="C21">
        <v>21</v>
      </c>
      <c r="D21">
        <v>17</v>
      </c>
      <c r="E21">
        <v>30.03</v>
      </c>
      <c r="F21">
        <v>0</v>
      </c>
      <c r="G21">
        <v>0</v>
      </c>
      <c r="H21">
        <v>0.5</v>
      </c>
      <c r="I21">
        <v>0</v>
      </c>
      <c r="J21">
        <v>0</v>
      </c>
      <c r="K21">
        <v>0</v>
      </c>
      <c r="L21" s="1">
        <f t="shared" si="0"/>
        <v>7.7482927490552994E-2</v>
      </c>
      <c r="M21">
        <f t="shared" si="1"/>
        <v>0.20354837069798201</v>
      </c>
    </row>
    <row r="22" spans="1:13">
      <c r="A22">
        <v>2010</v>
      </c>
      <c r="B22">
        <v>4</v>
      </c>
      <c r="C22">
        <v>21</v>
      </c>
      <c r="D22">
        <v>18</v>
      </c>
      <c r="E22">
        <v>29.42</v>
      </c>
      <c r="F22">
        <v>1.5</v>
      </c>
      <c r="G22">
        <v>0.33</v>
      </c>
      <c r="H22">
        <v>0</v>
      </c>
      <c r="I22">
        <v>0.83</v>
      </c>
      <c r="J22">
        <v>0.67</v>
      </c>
      <c r="K22">
        <v>0</v>
      </c>
      <c r="L22" s="1">
        <f t="shared" si="0"/>
        <v>0.58274709715561701</v>
      </c>
      <c r="M22">
        <f t="shared" si="1"/>
        <v>0.19941368850931199</v>
      </c>
    </row>
    <row r="23" spans="1:13">
      <c r="A23">
        <v>2010</v>
      </c>
      <c r="B23">
        <v>4</v>
      </c>
      <c r="C23">
        <v>21</v>
      </c>
      <c r="D23">
        <v>19</v>
      </c>
      <c r="E23">
        <v>29.25</v>
      </c>
      <c r="F23">
        <v>5</v>
      </c>
      <c r="G23">
        <v>0.67</v>
      </c>
      <c r="H23">
        <v>0</v>
      </c>
      <c r="I23">
        <v>1.67</v>
      </c>
      <c r="J23">
        <v>1.33</v>
      </c>
      <c r="K23">
        <v>0.67</v>
      </c>
      <c r="L23" s="1">
        <f t="shared" si="0"/>
        <v>1.7167491155432799</v>
      </c>
      <c r="M23">
        <f t="shared" si="1"/>
        <v>0.19826140003050199</v>
      </c>
    </row>
    <row r="24" spans="1:13">
      <c r="A24">
        <v>2010</v>
      </c>
      <c r="B24">
        <v>4</v>
      </c>
      <c r="C24">
        <v>21</v>
      </c>
      <c r="D24">
        <v>20</v>
      </c>
      <c r="E24">
        <v>30.4</v>
      </c>
      <c r="F24">
        <v>0</v>
      </c>
      <c r="G24">
        <v>1</v>
      </c>
      <c r="H24">
        <v>0</v>
      </c>
      <c r="I24">
        <v>0</v>
      </c>
      <c r="J24">
        <v>0</v>
      </c>
      <c r="K24">
        <v>1.33</v>
      </c>
      <c r="L24" s="1">
        <f t="shared" si="0"/>
        <v>0.482461435051035</v>
      </c>
      <c r="M24">
        <f t="shared" si="1"/>
        <v>0.20605629268127401</v>
      </c>
    </row>
    <row r="25" spans="1:13">
      <c r="A25">
        <v>2010</v>
      </c>
      <c r="B25">
        <v>4</v>
      </c>
      <c r="C25">
        <v>21</v>
      </c>
      <c r="D25">
        <v>21</v>
      </c>
      <c r="E25">
        <v>30.67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f t="shared" si="0"/>
        <v>0</v>
      </c>
      <c r="M25">
        <f t="shared" si="1"/>
        <v>0.20788639791232399</v>
      </c>
    </row>
    <row r="26" spans="1:13">
      <c r="A26">
        <v>2010</v>
      </c>
      <c r="B26">
        <v>4</v>
      </c>
      <c r="C26">
        <v>21</v>
      </c>
      <c r="D26">
        <v>22</v>
      </c>
      <c r="E26">
        <v>28.04</v>
      </c>
      <c r="F26">
        <v>0</v>
      </c>
      <c r="G26">
        <v>0.5</v>
      </c>
      <c r="H26">
        <v>0.5</v>
      </c>
      <c r="I26">
        <v>1</v>
      </c>
      <c r="J26">
        <v>0</v>
      </c>
      <c r="K26">
        <v>0</v>
      </c>
      <c r="L26" s="1">
        <f t="shared" si="0"/>
        <v>0.35929465635632102</v>
      </c>
      <c r="M26">
        <f t="shared" si="1"/>
        <v>0.19005981732838501</v>
      </c>
    </row>
    <row r="27" spans="1:13">
      <c r="A27">
        <v>2010</v>
      </c>
      <c r="B27">
        <v>4</v>
      </c>
      <c r="C27">
        <v>21</v>
      </c>
      <c r="D27">
        <v>23</v>
      </c>
      <c r="E27">
        <v>32.549999999999997</v>
      </c>
      <c r="F27">
        <v>0</v>
      </c>
      <c r="G27">
        <v>0</v>
      </c>
      <c r="H27">
        <v>0</v>
      </c>
      <c r="I27">
        <v>0</v>
      </c>
      <c r="J27">
        <v>0.5</v>
      </c>
      <c r="K27">
        <v>0</v>
      </c>
      <c r="L27" s="1">
        <f t="shared" si="0"/>
        <v>2.4142514737807302E-2</v>
      </c>
      <c r="M27">
        <f t="shared" si="1"/>
        <v>0.22062935285445601</v>
      </c>
    </row>
    <row r="28" spans="1:13">
      <c r="A28">
        <v>2010</v>
      </c>
      <c r="B28">
        <v>4</v>
      </c>
      <c r="C28">
        <v>22</v>
      </c>
      <c r="D28">
        <v>0</v>
      </c>
      <c r="E28">
        <v>30.67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f t="shared" si="0"/>
        <v>0</v>
      </c>
      <c r="M28">
        <f t="shared" si="1"/>
        <v>0.20788639791232399</v>
      </c>
    </row>
    <row r="29" spans="1:13">
      <c r="A29">
        <v>2010</v>
      </c>
      <c r="B29">
        <v>4</v>
      </c>
      <c r="C29">
        <v>22</v>
      </c>
      <c r="D29">
        <v>1</v>
      </c>
      <c r="E29">
        <v>27.7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f t="shared" si="0"/>
        <v>0</v>
      </c>
      <c r="M29">
        <f t="shared" si="1"/>
        <v>0.18775524037076599</v>
      </c>
    </row>
    <row r="30" spans="1:13">
      <c r="A30">
        <v>2010</v>
      </c>
      <c r="B30">
        <v>4</v>
      </c>
      <c r="C30">
        <v>22</v>
      </c>
      <c r="D30">
        <v>2</v>
      </c>
      <c r="E30">
        <v>73.400000000000006</v>
      </c>
      <c r="F30">
        <v>0.5</v>
      </c>
      <c r="G30">
        <v>2.5</v>
      </c>
      <c r="H30">
        <v>0</v>
      </c>
      <c r="I30">
        <v>1</v>
      </c>
      <c r="J30">
        <v>0</v>
      </c>
      <c r="K30">
        <v>0</v>
      </c>
      <c r="L30" s="1">
        <f t="shared" si="0"/>
        <v>0.99837135697031099</v>
      </c>
      <c r="M30">
        <f t="shared" si="1"/>
        <v>0.49751749614491703</v>
      </c>
    </row>
    <row r="31" spans="1:13">
      <c r="A31">
        <v>2010</v>
      </c>
      <c r="B31">
        <v>4</v>
      </c>
      <c r="C31">
        <v>22</v>
      </c>
      <c r="D31">
        <v>3</v>
      </c>
      <c r="E31">
        <v>96.8</v>
      </c>
      <c r="F31">
        <v>17</v>
      </c>
      <c r="G31">
        <v>7</v>
      </c>
      <c r="H31">
        <v>7.5</v>
      </c>
      <c r="I31">
        <v>4</v>
      </c>
      <c r="J31">
        <v>9.5</v>
      </c>
      <c r="K31">
        <v>3</v>
      </c>
      <c r="L31" s="1">
        <f t="shared" si="0"/>
        <v>8.5403630461837992</v>
      </c>
      <c r="M31">
        <f t="shared" si="1"/>
        <v>0.656126616169319</v>
      </c>
    </row>
    <row r="32" spans="1:13">
      <c r="A32">
        <v>2010</v>
      </c>
      <c r="B32">
        <v>4</v>
      </c>
      <c r="C32">
        <v>22</v>
      </c>
      <c r="D32">
        <v>4</v>
      </c>
      <c r="E32">
        <v>221.44</v>
      </c>
      <c r="F32">
        <v>0.5</v>
      </c>
      <c r="G32">
        <v>1.88</v>
      </c>
      <c r="H32">
        <v>3.5</v>
      </c>
      <c r="I32">
        <v>2</v>
      </c>
      <c r="J32">
        <v>14.5</v>
      </c>
      <c r="K32">
        <v>21</v>
      </c>
      <c r="L32" s="1">
        <f t="shared" si="0"/>
        <v>5.0463067083147504</v>
      </c>
      <c r="M32">
        <f t="shared" si="1"/>
        <v>1.5009574161625401</v>
      </c>
    </row>
    <row r="33" spans="1:13">
      <c r="A33">
        <v>2010</v>
      </c>
      <c r="B33">
        <v>4</v>
      </c>
      <c r="C33">
        <v>22</v>
      </c>
      <c r="D33">
        <v>5</v>
      </c>
      <c r="E33">
        <v>214.87</v>
      </c>
      <c r="F33">
        <v>24.5</v>
      </c>
      <c r="G33">
        <v>1.1200000000000001</v>
      </c>
      <c r="H33">
        <v>13.5</v>
      </c>
      <c r="I33">
        <v>2</v>
      </c>
      <c r="J33">
        <v>0.5</v>
      </c>
      <c r="K33">
        <v>3.5</v>
      </c>
      <c r="L33" s="1">
        <f t="shared" si="0"/>
        <v>8.7804235601571694</v>
      </c>
      <c r="M33">
        <f t="shared" si="1"/>
        <v>1.4564248555403001</v>
      </c>
    </row>
    <row r="34" spans="1:13">
      <c r="A34">
        <v>2010</v>
      </c>
      <c r="B34">
        <v>4</v>
      </c>
      <c r="C34">
        <v>22</v>
      </c>
      <c r="D34">
        <v>6</v>
      </c>
      <c r="E34">
        <v>210.31</v>
      </c>
      <c r="F34">
        <v>30</v>
      </c>
      <c r="G34">
        <v>8.5</v>
      </c>
      <c r="H34">
        <v>20.5</v>
      </c>
      <c r="I34">
        <v>4</v>
      </c>
      <c r="J34">
        <v>8.5</v>
      </c>
      <c r="K34">
        <v>6</v>
      </c>
      <c r="L34" s="1">
        <f t="shared" si="0"/>
        <v>14.332111380355</v>
      </c>
      <c r="M34">
        <f t="shared" si="1"/>
        <v>1.42551641163811</v>
      </c>
    </row>
    <row r="35" spans="1:13">
      <c r="A35">
        <v>2010</v>
      </c>
      <c r="B35">
        <v>4</v>
      </c>
      <c r="C35">
        <v>22</v>
      </c>
      <c r="D35">
        <v>7</v>
      </c>
      <c r="E35">
        <v>191</v>
      </c>
      <c r="F35">
        <v>18</v>
      </c>
      <c r="G35">
        <v>22.5</v>
      </c>
      <c r="H35">
        <v>18.5</v>
      </c>
      <c r="I35">
        <v>28.5</v>
      </c>
      <c r="J35">
        <v>4</v>
      </c>
      <c r="K35">
        <v>9</v>
      </c>
      <c r="L35" s="1">
        <f t="shared" si="0"/>
        <v>18.9084147184142</v>
      </c>
      <c r="M35">
        <f t="shared" si="1"/>
        <v>1.2946299967803701</v>
      </c>
    </row>
    <row r="36" spans="1:13">
      <c r="A36">
        <v>2010</v>
      </c>
      <c r="B36">
        <v>4</v>
      </c>
      <c r="C36">
        <v>22</v>
      </c>
      <c r="D36">
        <v>8</v>
      </c>
      <c r="E36">
        <v>155.37</v>
      </c>
      <c r="F36">
        <v>13.5</v>
      </c>
      <c r="G36">
        <v>15</v>
      </c>
      <c r="H36">
        <v>10</v>
      </c>
      <c r="I36">
        <v>16</v>
      </c>
      <c r="J36">
        <v>12</v>
      </c>
      <c r="K36">
        <v>6.5</v>
      </c>
      <c r="L36" s="1">
        <f t="shared" si="0"/>
        <v>12.7113620915919</v>
      </c>
      <c r="M36">
        <f t="shared" si="1"/>
        <v>1.05312388795689</v>
      </c>
    </row>
    <row r="37" spans="1:13">
      <c r="A37">
        <v>2010</v>
      </c>
      <c r="B37">
        <v>4</v>
      </c>
      <c r="C37">
        <v>22</v>
      </c>
      <c r="D37">
        <v>9</v>
      </c>
      <c r="E37">
        <v>146</v>
      </c>
      <c r="F37">
        <v>8.5</v>
      </c>
      <c r="G37">
        <v>9</v>
      </c>
      <c r="H37">
        <v>7</v>
      </c>
      <c r="I37">
        <v>7.5</v>
      </c>
      <c r="J37">
        <v>6</v>
      </c>
      <c r="K37">
        <v>7.5</v>
      </c>
      <c r="L37" s="1">
        <f t="shared" ref="L37:L76" si="2">F37*$F$2+G37*$G$2+H37*$H$2+I37*$I$2+J37*$J$2+K37*$K$2</f>
        <v>8.0300508174281795</v>
      </c>
      <c r="M37">
        <f t="shared" ref="M37:M68" si="3">E37*3600/(1000*$L$1)</f>
        <v>0.98961245827190603</v>
      </c>
    </row>
    <row r="38" spans="1:13">
      <c r="A38">
        <v>2010</v>
      </c>
      <c r="B38">
        <v>4</v>
      </c>
      <c r="C38">
        <v>22</v>
      </c>
      <c r="D38">
        <v>10</v>
      </c>
      <c r="E38">
        <v>132</v>
      </c>
      <c r="F38">
        <v>1.32</v>
      </c>
      <c r="G38">
        <v>7</v>
      </c>
      <c r="H38">
        <v>7</v>
      </c>
      <c r="I38">
        <v>7.5</v>
      </c>
      <c r="J38">
        <v>3</v>
      </c>
      <c r="K38">
        <v>2.57</v>
      </c>
      <c r="L38" s="1">
        <f t="shared" si="2"/>
        <v>4.9734921495640396</v>
      </c>
      <c r="M38">
        <f t="shared" si="3"/>
        <v>0.89471811295816195</v>
      </c>
    </row>
    <row r="39" spans="1:13">
      <c r="A39">
        <v>2010</v>
      </c>
      <c r="B39">
        <v>4</v>
      </c>
      <c r="C39">
        <v>22</v>
      </c>
      <c r="D39">
        <v>11</v>
      </c>
      <c r="E39">
        <v>115.93</v>
      </c>
      <c r="F39">
        <v>1.29</v>
      </c>
      <c r="G39">
        <v>1.6</v>
      </c>
      <c r="H39">
        <v>6.5</v>
      </c>
      <c r="I39">
        <v>5</v>
      </c>
      <c r="J39">
        <v>6.5</v>
      </c>
      <c r="K39">
        <v>1.93</v>
      </c>
      <c r="L39" s="1">
        <f t="shared" si="2"/>
        <v>3.0162001404587002</v>
      </c>
      <c r="M39">
        <f t="shared" si="3"/>
        <v>0.78579296087302797</v>
      </c>
    </row>
    <row r="40" spans="1:13">
      <c r="A40">
        <v>2010</v>
      </c>
      <c r="B40">
        <v>4</v>
      </c>
      <c r="C40">
        <v>22</v>
      </c>
      <c r="D40">
        <v>12</v>
      </c>
      <c r="E40">
        <v>114</v>
      </c>
      <c r="F40">
        <v>1.26</v>
      </c>
      <c r="G40">
        <v>1.33</v>
      </c>
      <c r="H40">
        <v>2.48</v>
      </c>
      <c r="I40">
        <v>1.03</v>
      </c>
      <c r="J40">
        <v>1.0900000000000001</v>
      </c>
      <c r="K40">
        <v>0</v>
      </c>
      <c r="L40" s="1">
        <f t="shared" si="2"/>
        <v>1.26010538167673</v>
      </c>
      <c r="M40">
        <f t="shared" si="3"/>
        <v>0.77271109755477596</v>
      </c>
    </row>
    <row r="41" spans="1:13">
      <c r="A41">
        <v>2010</v>
      </c>
      <c r="B41">
        <v>4</v>
      </c>
      <c r="C41">
        <v>22</v>
      </c>
      <c r="D41">
        <v>13</v>
      </c>
      <c r="E41">
        <v>106</v>
      </c>
      <c r="F41">
        <v>1.24</v>
      </c>
      <c r="G41">
        <v>1.07</v>
      </c>
      <c r="H41">
        <v>2.02</v>
      </c>
      <c r="I41">
        <v>0.47</v>
      </c>
      <c r="J41">
        <v>0.41</v>
      </c>
      <c r="K41">
        <v>0.67</v>
      </c>
      <c r="L41" s="1">
        <f t="shared" si="2"/>
        <v>1.0909169542680801</v>
      </c>
      <c r="M41">
        <f t="shared" si="3"/>
        <v>0.71848575737549403</v>
      </c>
    </row>
    <row r="42" spans="1:13">
      <c r="A42">
        <v>2010</v>
      </c>
      <c r="B42">
        <v>4</v>
      </c>
      <c r="C42">
        <v>22</v>
      </c>
      <c r="D42">
        <v>14</v>
      </c>
      <c r="E42">
        <v>114.95</v>
      </c>
      <c r="F42">
        <v>1.21</v>
      </c>
      <c r="G42">
        <v>3.5</v>
      </c>
      <c r="H42">
        <v>4</v>
      </c>
      <c r="I42">
        <v>3.5</v>
      </c>
      <c r="J42">
        <v>3</v>
      </c>
      <c r="K42">
        <v>1.33</v>
      </c>
      <c r="L42" s="1">
        <f t="shared" si="2"/>
        <v>2.73542886030762</v>
      </c>
      <c r="M42">
        <f t="shared" si="3"/>
        <v>0.77915035670106603</v>
      </c>
    </row>
    <row r="43" spans="1:13">
      <c r="A43">
        <v>2010</v>
      </c>
      <c r="B43">
        <v>4</v>
      </c>
      <c r="C43">
        <v>22</v>
      </c>
      <c r="D43">
        <v>15</v>
      </c>
      <c r="E43">
        <v>63.2</v>
      </c>
      <c r="F43">
        <v>1.18</v>
      </c>
      <c r="G43">
        <v>1</v>
      </c>
      <c r="H43">
        <v>1.5</v>
      </c>
      <c r="I43">
        <v>1</v>
      </c>
      <c r="J43">
        <v>1.1100000000000001</v>
      </c>
      <c r="K43">
        <v>2</v>
      </c>
      <c r="L43" s="1">
        <f t="shared" si="2"/>
        <v>1.26008553670849</v>
      </c>
      <c r="M43">
        <f t="shared" si="3"/>
        <v>0.42838018741633199</v>
      </c>
    </row>
    <row r="44" spans="1:13">
      <c r="A44">
        <v>2010</v>
      </c>
      <c r="B44">
        <v>4</v>
      </c>
      <c r="C44">
        <v>22</v>
      </c>
      <c r="D44">
        <v>16</v>
      </c>
      <c r="E44">
        <v>68.819999999999993</v>
      </c>
      <c r="F44">
        <v>0</v>
      </c>
      <c r="G44">
        <v>0</v>
      </c>
      <c r="H44">
        <v>0</v>
      </c>
      <c r="I44">
        <v>0</v>
      </c>
      <c r="J44">
        <v>0.89</v>
      </c>
      <c r="K44">
        <v>0</v>
      </c>
      <c r="L44" s="1">
        <f t="shared" si="2"/>
        <v>4.2973676233297002E-2</v>
      </c>
      <c r="M44">
        <f t="shared" si="3"/>
        <v>0.46647348889227802</v>
      </c>
    </row>
    <row r="45" spans="1:13">
      <c r="A45">
        <v>2010</v>
      </c>
      <c r="B45">
        <v>4</v>
      </c>
      <c r="C45">
        <v>22</v>
      </c>
      <c r="D45">
        <v>17</v>
      </c>
      <c r="E45">
        <v>75.8</v>
      </c>
      <c r="F45">
        <v>0</v>
      </c>
      <c r="G45">
        <v>0</v>
      </c>
      <c r="H45">
        <v>0</v>
      </c>
      <c r="I45">
        <v>0</v>
      </c>
      <c r="J45">
        <v>0</v>
      </c>
      <c r="K45">
        <v>0.5</v>
      </c>
      <c r="L45" s="1">
        <f t="shared" si="2"/>
        <v>6.8119642188068E-2</v>
      </c>
      <c r="M45">
        <f t="shared" si="3"/>
        <v>0.51378509819870199</v>
      </c>
    </row>
    <row r="46" spans="1:13">
      <c r="A46">
        <v>2010</v>
      </c>
      <c r="B46">
        <v>4</v>
      </c>
      <c r="C46">
        <v>22</v>
      </c>
      <c r="D46">
        <v>18</v>
      </c>
      <c r="E46">
        <v>72.790000000000006</v>
      </c>
      <c r="F46">
        <v>0</v>
      </c>
      <c r="G46">
        <v>0</v>
      </c>
      <c r="H46">
        <v>0.5</v>
      </c>
      <c r="I46">
        <v>0</v>
      </c>
      <c r="J46">
        <v>0</v>
      </c>
      <c r="K46">
        <v>0</v>
      </c>
      <c r="L46" s="1">
        <f t="shared" si="2"/>
        <v>7.7482927490552994E-2</v>
      </c>
      <c r="M46">
        <f t="shared" si="3"/>
        <v>0.493382813956247</v>
      </c>
    </row>
    <row r="47" spans="1:13">
      <c r="A47">
        <v>2010</v>
      </c>
      <c r="B47">
        <v>4</v>
      </c>
      <c r="C47">
        <v>22</v>
      </c>
      <c r="D47">
        <v>19</v>
      </c>
      <c r="E47">
        <v>70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1">
        <f t="shared" si="2"/>
        <v>0</v>
      </c>
      <c r="M47">
        <f t="shared" si="3"/>
        <v>0.474471726568722</v>
      </c>
    </row>
    <row r="48" spans="1:13">
      <c r="A48">
        <v>2010</v>
      </c>
      <c r="B48">
        <v>4</v>
      </c>
      <c r="C48">
        <v>22</v>
      </c>
      <c r="D48">
        <v>20</v>
      </c>
      <c r="E48">
        <v>67.8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1">
        <f t="shared" si="2"/>
        <v>0</v>
      </c>
      <c r="M48">
        <f t="shared" si="3"/>
        <v>0.45955975801941901</v>
      </c>
    </row>
    <row r="49" spans="1:13">
      <c r="A49">
        <v>2010</v>
      </c>
      <c r="B49">
        <v>4</v>
      </c>
      <c r="C49">
        <v>22</v>
      </c>
      <c r="D49">
        <v>21</v>
      </c>
      <c r="E49">
        <v>66.42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1">
        <f t="shared" si="2"/>
        <v>0</v>
      </c>
      <c r="M49">
        <f t="shared" si="3"/>
        <v>0.450205886838493</v>
      </c>
    </row>
    <row r="50" spans="1:13">
      <c r="A50">
        <v>2010</v>
      </c>
      <c r="B50">
        <v>4</v>
      </c>
      <c r="C50">
        <v>22</v>
      </c>
      <c r="D50">
        <v>22</v>
      </c>
      <c r="E50">
        <v>65.540000000000006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1">
        <f t="shared" si="2"/>
        <v>0</v>
      </c>
      <c r="M50">
        <f t="shared" si="3"/>
        <v>0.44424109941877199</v>
      </c>
    </row>
    <row r="51" spans="1:13">
      <c r="A51">
        <v>2010</v>
      </c>
      <c r="B51">
        <v>4</v>
      </c>
      <c r="C51">
        <v>22</v>
      </c>
      <c r="D51">
        <v>23</v>
      </c>
      <c r="E51">
        <v>64.72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1">
        <f t="shared" si="2"/>
        <v>0</v>
      </c>
      <c r="M51">
        <f t="shared" si="3"/>
        <v>0.43868300205039601</v>
      </c>
    </row>
    <row r="52" spans="1:13">
      <c r="A52">
        <v>2010</v>
      </c>
      <c r="B52">
        <v>4</v>
      </c>
      <c r="C52">
        <v>23</v>
      </c>
      <c r="D52">
        <v>0</v>
      </c>
      <c r="E52">
        <v>63.49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1">
        <f t="shared" si="2"/>
        <v>0</v>
      </c>
      <c r="M52">
        <f t="shared" si="3"/>
        <v>0.43034585599783098</v>
      </c>
    </row>
    <row r="53" spans="1:13">
      <c r="A53">
        <v>2010</v>
      </c>
      <c r="B53">
        <v>4</v>
      </c>
      <c r="C53">
        <v>23</v>
      </c>
      <c r="D53">
        <v>1</v>
      </c>
      <c r="E53">
        <v>61.4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1">
        <f t="shared" si="2"/>
        <v>0</v>
      </c>
      <c r="M53">
        <f t="shared" si="3"/>
        <v>0.41617948587599302</v>
      </c>
    </row>
    <row r="54" spans="1:13">
      <c r="A54">
        <v>2010</v>
      </c>
      <c r="B54">
        <v>4</v>
      </c>
      <c r="C54">
        <v>23</v>
      </c>
      <c r="D54">
        <v>2</v>
      </c>
      <c r="E54">
        <v>58.3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1">
        <f t="shared" si="2"/>
        <v>0</v>
      </c>
      <c r="M54">
        <f t="shared" si="3"/>
        <v>0.39516716655652101</v>
      </c>
    </row>
    <row r="55" spans="1:13">
      <c r="A55">
        <v>2010</v>
      </c>
      <c r="B55">
        <v>4</v>
      </c>
      <c r="C55">
        <v>23</v>
      </c>
      <c r="D55">
        <v>3</v>
      </c>
      <c r="E55">
        <v>55.59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1">
        <f t="shared" si="2"/>
        <v>0</v>
      </c>
      <c r="M55">
        <f t="shared" si="3"/>
        <v>0.37679833257078899</v>
      </c>
    </row>
    <row r="56" spans="1:13">
      <c r="A56">
        <v>2010</v>
      </c>
      <c r="B56">
        <v>4</v>
      </c>
      <c r="C56">
        <v>23</v>
      </c>
      <c r="D56">
        <v>4</v>
      </c>
      <c r="E56">
        <v>55.82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1">
        <f t="shared" si="2"/>
        <v>0</v>
      </c>
      <c r="M56">
        <f t="shared" si="3"/>
        <v>0.378357311100944</v>
      </c>
    </row>
    <row r="57" spans="1:13">
      <c r="A57">
        <v>2010</v>
      </c>
      <c r="B57">
        <v>4</v>
      </c>
      <c r="C57">
        <v>23</v>
      </c>
      <c r="D57">
        <v>5</v>
      </c>
      <c r="E57">
        <v>52.86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1">
        <f t="shared" si="2"/>
        <v>0</v>
      </c>
      <c r="M57">
        <f t="shared" si="3"/>
        <v>0.35829393523460901</v>
      </c>
    </row>
    <row r="58" spans="1:13">
      <c r="A58">
        <v>2010</v>
      </c>
      <c r="B58">
        <v>4</v>
      </c>
      <c r="C58">
        <v>23</v>
      </c>
      <c r="D58">
        <v>6</v>
      </c>
      <c r="E58">
        <v>56.1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1">
        <f t="shared" si="2"/>
        <v>0</v>
      </c>
      <c r="M58">
        <f t="shared" si="3"/>
        <v>0.38025519800721902</v>
      </c>
    </row>
    <row r="59" spans="1:13">
      <c r="A59">
        <v>2010</v>
      </c>
      <c r="B59">
        <v>4</v>
      </c>
      <c r="C59">
        <v>23</v>
      </c>
      <c r="D59">
        <v>7</v>
      </c>
      <c r="E59">
        <v>48.89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1">
        <f t="shared" si="2"/>
        <v>0</v>
      </c>
      <c r="M59">
        <f t="shared" si="3"/>
        <v>0.33138461017064003</v>
      </c>
    </row>
    <row r="60" spans="1:13">
      <c r="A60">
        <v>2010</v>
      </c>
      <c r="B60">
        <v>4</v>
      </c>
      <c r="C60">
        <v>23</v>
      </c>
      <c r="D60">
        <v>8</v>
      </c>
      <c r="E60">
        <v>56.1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1">
        <f t="shared" si="2"/>
        <v>0</v>
      </c>
      <c r="M60">
        <f t="shared" si="3"/>
        <v>0.38025519800721902</v>
      </c>
    </row>
    <row r="61" spans="1:13">
      <c r="A61">
        <v>2010</v>
      </c>
      <c r="B61">
        <v>4</v>
      </c>
      <c r="C61">
        <v>23</v>
      </c>
      <c r="D61">
        <v>9</v>
      </c>
      <c r="E61">
        <v>60.24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1">
        <f t="shared" si="2"/>
        <v>0</v>
      </c>
      <c r="M61">
        <f t="shared" si="3"/>
        <v>0.40831681154999699</v>
      </c>
    </row>
    <row r="62" spans="1:13">
      <c r="A62">
        <v>2010</v>
      </c>
      <c r="B62">
        <v>4</v>
      </c>
      <c r="C62">
        <v>23</v>
      </c>
      <c r="D62">
        <v>10</v>
      </c>
      <c r="E62">
        <v>59.64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1">
        <f t="shared" si="2"/>
        <v>0</v>
      </c>
      <c r="M62">
        <f t="shared" si="3"/>
        <v>0.404249911036551</v>
      </c>
    </row>
    <row r="63" spans="1:13">
      <c r="A63">
        <v>2010</v>
      </c>
      <c r="B63">
        <v>4</v>
      </c>
      <c r="C63">
        <v>23</v>
      </c>
      <c r="D63">
        <v>11</v>
      </c>
      <c r="E63">
        <v>49.47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1">
        <f t="shared" si="2"/>
        <v>0</v>
      </c>
      <c r="M63">
        <f t="shared" si="3"/>
        <v>0.33531594733363801</v>
      </c>
    </row>
    <row r="64" spans="1:13">
      <c r="A64">
        <v>2010</v>
      </c>
      <c r="B64">
        <v>4</v>
      </c>
      <c r="C64">
        <v>23</v>
      </c>
      <c r="D64">
        <v>12</v>
      </c>
      <c r="E64">
        <v>46.2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1">
        <f t="shared" si="2"/>
        <v>0</v>
      </c>
      <c r="M64">
        <f t="shared" si="3"/>
        <v>0.31315133953535701</v>
      </c>
    </row>
    <row r="65" spans="1:13">
      <c r="A65">
        <v>2010</v>
      </c>
      <c r="B65">
        <v>4</v>
      </c>
      <c r="C65">
        <v>23</v>
      </c>
      <c r="D65">
        <v>13</v>
      </c>
      <c r="E65">
        <v>46.42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>
        <f t="shared" si="2"/>
        <v>0</v>
      </c>
      <c r="M65">
        <f t="shared" si="3"/>
        <v>0.314642536390287</v>
      </c>
    </row>
    <row r="66" spans="1:13">
      <c r="A66">
        <v>2010</v>
      </c>
      <c r="B66">
        <v>4</v>
      </c>
      <c r="C66">
        <v>23</v>
      </c>
      <c r="D66">
        <v>14</v>
      </c>
      <c r="E66">
        <v>53.66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1">
        <f t="shared" si="2"/>
        <v>0</v>
      </c>
      <c r="M66">
        <f t="shared" si="3"/>
        <v>0.36371646925253798</v>
      </c>
    </row>
    <row r="67" spans="1:13">
      <c r="A67">
        <v>2010</v>
      </c>
      <c r="B67">
        <v>4</v>
      </c>
      <c r="C67">
        <v>23</v>
      </c>
      <c r="D67">
        <v>15</v>
      </c>
      <c r="E67">
        <v>58.49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1">
        <f t="shared" si="2"/>
        <v>0</v>
      </c>
      <c r="M67">
        <f t="shared" si="3"/>
        <v>0.39645501838577901</v>
      </c>
    </row>
    <row r="68" spans="1:13">
      <c r="A68">
        <v>2010</v>
      </c>
      <c r="B68">
        <v>4</v>
      </c>
      <c r="C68">
        <v>23</v>
      </c>
      <c r="D68">
        <v>16</v>
      </c>
      <c r="E68">
        <v>59.3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1">
        <f t="shared" si="2"/>
        <v>0</v>
      </c>
      <c r="M68">
        <f t="shared" si="3"/>
        <v>0.40194533407893202</v>
      </c>
    </row>
    <row r="69" spans="1:13">
      <c r="A69">
        <v>2010</v>
      </c>
      <c r="B69">
        <v>4</v>
      </c>
      <c r="C69">
        <v>23</v>
      </c>
      <c r="D69">
        <v>17</v>
      </c>
      <c r="E69">
        <v>54.47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f t="shared" si="2"/>
        <v>0</v>
      </c>
      <c r="M69">
        <f t="shared" ref="M69:M76" si="4">E69*3600/(1000*$L$1)</f>
        <v>0.36920678494568998</v>
      </c>
    </row>
    <row r="70" spans="1:13">
      <c r="A70">
        <v>2010</v>
      </c>
      <c r="B70">
        <v>4</v>
      </c>
      <c r="C70">
        <v>23</v>
      </c>
      <c r="D70">
        <v>18</v>
      </c>
      <c r="E70">
        <v>42.4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1">
        <f t="shared" si="2"/>
        <v>0</v>
      </c>
      <c r="M70">
        <f t="shared" si="4"/>
        <v>0.28739430295019702</v>
      </c>
    </row>
    <row r="71" spans="1:13">
      <c r="A71">
        <v>2010</v>
      </c>
      <c r="B71">
        <v>4</v>
      </c>
      <c r="C71">
        <v>23</v>
      </c>
      <c r="D71">
        <v>19</v>
      </c>
      <c r="E71">
        <v>40.69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1">
        <f t="shared" si="2"/>
        <v>0</v>
      </c>
      <c r="M71">
        <f t="shared" si="4"/>
        <v>0.275803636486876</v>
      </c>
    </row>
    <row r="72" spans="1:13">
      <c r="A72">
        <v>2010</v>
      </c>
      <c r="B72">
        <v>4</v>
      </c>
      <c r="C72">
        <v>23</v>
      </c>
      <c r="D72">
        <v>20</v>
      </c>
      <c r="E72">
        <v>43.2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1">
        <f t="shared" si="2"/>
        <v>0</v>
      </c>
      <c r="M72">
        <f t="shared" si="4"/>
        <v>0.29281683696812599</v>
      </c>
    </row>
    <row r="73" spans="1:13">
      <c r="A73">
        <v>2010</v>
      </c>
      <c r="B73">
        <v>4</v>
      </c>
      <c r="C73">
        <v>23</v>
      </c>
      <c r="D73">
        <v>21</v>
      </c>
      <c r="E73">
        <v>38.479999999999997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1">
        <f t="shared" si="2"/>
        <v>0</v>
      </c>
      <c r="M73">
        <f t="shared" si="4"/>
        <v>0.26082388626234898</v>
      </c>
    </row>
    <row r="74" spans="1:13">
      <c r="A74">
        <v>2010</v>
      </c>
      <c r="B74">
        <v>4</v>
      </c>
      <c r="C74">
        <v>23</v>
      </c>
      <c r="D74">
        <v>22</v>
      </c>
      <c r="E74">
        <v>47.21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1">
        <f t="shared" si="2"/>
        <v>0</v>
      </c>
      <c r="M74">
        <f t="shared" si="4"/>
        <v>0.31999728873299099</v>
      </c>
    </row>
    <row r="75" spans="1:13">
      <c r="A75">
        <v>2010</v>
      </c>
      <c r="B75">
        <v>4</v>
      </c>
      <c r="C75">
        <v>23</v>
      </c>
      <c r="D75">
        <v>23</v>
      </c>
      <c r="E75">
        <v>51.3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1">
        <f t="shared" si="2"/>
        <v>0</v>
      </c>
      <c r="M75">
        <f t="shared" si="4"/>
        <v>0.34771999389964903</v>
      </c>
    </row>
    <row r="76" spans="1:13">
      <c r="A76">
        <v>2010</v>
      </c>
      <c r="B76">
        <v>4</v>
      </c>
      <c r="C76">
        <v>24</v>
      </c>
      <c r="D76">
        <v>0</v>
      </c>
      <c r="E76">
        <v>17.53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1">
        <f t="shared" si="2"/>
        <v>0</v>
      </c>
      <c r="M76">
        <f t="shared" si="4"/>
        <v>0.118821276667853</v>
      </c>
    </row>
    <row r="80" spans="1:13">
      <c r="L80">
        <f>SUM(L4:L76)</f>
        <v>97.485108742518193</v>
      </c>
      <c r="M80">
        <f>SUM(M4:M76)</f>
        <v>29.960313829156298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M92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2010</v>
      </c>
      <c r="B4">
        <v>6</v>
      </c>
      <c r="C4">
        <v>14</v>
      </c>
      <c r="D4">
        <v>6</v>
      </c>
      <c r="E4">
        <v>29.5</v>
      </c>
      <c r="F4">
        <v>0</v>
      </c>
      <c r="G4">
        <v>4.5</v>
      </c>
      <c r="H4">
        <v>0</v>
      </c>
      <c r="I4">
        <v>15</v>
      </c>
      <c r="J4">
        <v>5</v>
      </c>
      <c r="K4">
        <v>0</v>
      </c>
      <c r="L4" s="1">
        <f>F4*$F$2+G4*$G$2+H4*$H$2+I4*$I$2+J4*$J$2+K4*$K$2</f>
        <v>3.5648115198722699</v>
      </c>
      <c r="M4">
        <f>E4*3600/(1000*$L$1)</f>
        <v>0.199955941911104</v>
      </c>
    </row>
    <row r="5" spans="1:13">
      <c r="A5">
        <v>2010</v>
      </c>
      <c r="B5">
        <v>6</v>
      </c>
      <c r="C5">
        <v>14</v>
      </c>
      <c r="D5">
        <v>7</v>
      </c>
      <c r="E5">
        <v>40.1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f t="shared" ref="L5:L36" si="0">F5*$F$2+G5*$G$2+H5*$H$2+I5*$I$2+J5*$J$2+K5*$K$2</f>
        <v>0</v>
      </c>
      <c r="M5">
        <f t="shared" ref="M5:M36" si="1">E5*3600/(1000*$L$1)</f>
        <v>0.27180451764865399</v>
      </c>
    </row>
    <row r="6" spans="1:13">
      <c r="A6">
        <v>2010</v>
      </c>
      <c r="B6">
        <v>6</v>
      </c>
      <c r="C6">
        <v>14</v>
      </c>
      <c r="D6">
        <v>8</v>
      </c>
      <c r="E6">
        <v>51.5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f t="shared" si="0"/>
        <v>0</v>
      </c>
      <c r="M6">
        <f t="shared" si="1"/>
        <v>0.34907562740413101</v>
      </c>
    </row>
    <row r="7" spans="1:13">
      <c r="A7">
        <v>2010</v>
      </c>
      <c r="B7">
        <v>6</v>
      </c>
      <c r="C7">
        <v>14</v>
      </c>
      <c r="D7">
        <v>9</v>
      </c>
      <c r="E7">
        <v>61.4</v>
      </c>
      <c r="F7">
        <v>0</v>
      </c>
      <c r="G7">
        <v>0</v>
      </c>
      <c r="H7">
        <v>0</v>
      </c>
      <c r="I7">
        <v>0.5</v>
      </c>
      <c r="J7">
        <v>0</v>
      </c>
      <c r="K7">
        <v>0.5</v>
      </c>
      <c r="L7" s="1">
        <f t="shared" si="0"/>
        <v>0.13370970991325901</v>
      </c>
      <c r="M7">
        <f t="shared" si="1"/>
        <v>0.41617948587599302</v>
      </c>
    </row>
    <row r="8" spans="1:13">
      <c r="A8">
        <v>2010</v>
      </c>
      <c r="B8">
        <v>6</v>
      </c>
      <c r="C8">
        <v>14</v>
      </c>
      <c r="D8">
        <v>10</v>
      </c>
      <c r="E8">
        <v>75.599999999999994</v>
      </c>
      <c r="F8">
        <v>1.5</v>
      </c>
      <c r="G8">
        <v>5.5</v>
      </c>
      <c r="H8">
        <v>3</v>
      </c>
      <c r="I8">
        <v>10.5</v>
      </c>
      <c r="J8">
        <v>9.5</v>
      </c>
      <c r="K8">
        <v>6.5</v>
      </c>
      <c r="L8" s="1">
        <f t="shared" si="0"/>
        <v>5.1855994065337798</v>
      </c>
      <c r="M8">
        <f t="shared" si="1"/>
        <v>0.51242946469422002</v>
      </c>
    </row>
    <row r="9" spans="1:13">
      <c r="A9">
        <v>2010</v>
      </c>
      <c r="B9">
        <v>6</v>
      </c>
      <c r="C9">
        <v>14</v>
      </c>
      <c r="D9">
        <v>11</v>
      </c>
      <c r="E9">
        <v>78.7</v>
      </c>
      <c r="F9">
        <v>0</v>
      </c>
      <c r="G9">
        <v>1.3</v>
      </c>
      <c r="H9">
        <v>0</v>
      </c>
      <c r="I9">
        <v>0</v>
      </c>
      <c r="J9">
        <v>1.5</v>
      </c>
      <c r="K9">
        <v>0</v>
      </c>
      <c r="L9" s="1">
        <f t="shared" si="0"/>
        <v>0.464069687093428</v>
      </c>
      <c r="M9">
        <f t="shared" si="1"/>
        <v>0.53344178401369202</v>
      </c>
    </row>
    <row r="10" spans="1:13">
      <c r="A10">
        <v>2010</v>
      </c>
      <c r="B10">
        <v>6</v>
      </c>
      <c r="C10">
        <v>14</v>
      </c>
      <c r="D10">
        <v>12</v>
      </c>
      <c r="E10">
        <v>75.599999999999994</v>
      </c>
      <c r="F10">
        <v>3.5</v>
      </c>
      <c r="G10">
        <v>1.27</v>
      </c>
      <c r="H10">
        <v>0</v>
      </c>
      <c r="I10">
        <v>0.5</v>
      </c>
      <c r="J10">
        <v>0</v>
      </c>
      <c r="K10">
        <v>0</v>
      </c>
      <c r="L10" s="1">
        <f t="shared" si="0"/>
        <v>1.24642709610124</v>
      </c>
      <c r="M10">
        <f t="shared" si="1"/>
        <v>0.51242946469422002</v>
      </c>
    </row>
    <row r="11" spans="1:13">
      <c r="A11">
        <v>2010</v>
      </c>
      <c r="B11">
        <v>6</v>
      </c>
      <c r="C11">
        <v>14</v>
      </c>
      <c r="D11">
        <v>13</v>
      </c>
      <c r="E11">
        <v>73.31</v>
      </c>
      <c r="F11">
        <v>13.5</v>
      </c>
      <c r="G11">
        <v>1.23</v>
      </c>
      <c r="H11">
        <v>0</v>
      </c>
      <c r="I11">
        <v>20.5</v>
      </c>
      <c r="J11">
        <v>7.5</v>
      </c>
      <c r="K11">
        <v>11</v>
      </c>
      <c r="L11" s="1">
        <f t="shared" si="0"/>
        <v>7.9994142157001198</v>
      </c>
      <c r="M11">
        <f t="shared" si="1"/>
        <v>0.49690746106790001</v>
      </c>
    </row>
    <row r="12" spans="1:13">
      <c r="A12">
        <v>2010</v>
      </c>
      <c r="B12">
        <v>6</v>
      </c>
      <c r="C12">
        <v>14</v>
      </c>
      <c r="D12">
        <v>14</v>
      </c>
      <c r="E12">
        <v>95.2</v>
      </c>
      <c r="F12">
        <v>1.74</v>
      </c>
      <c r="G12">
        <v>1.2</v>
      </c>
      <c r="H12">
        <v>0.5</v>
      </c>
      <c r="I12">
        <v>0.5</v>
      </c>
      <c r="J12">
        <v>0.5</v>
      </c>
      <c r="K12">
        <v>0.86</v>
      </c>
      <c r="L12" s="1">
        <f t="shared" si="0"/>
        <v>1.0427328441755801</v>
      </c>
      <c r="M12">
        <f t="shared" si="1"/>
        <v>0.64528154813346195</v>
      </c>
    </row>
    <row r="13" spans="1:13">
      <c r="A13">
        <v>2010</v>
      </c>
      <c r="B13">
        <v>6</v>
      </c>
      <c r="C13">
        <v>14</v>
      </c>
      <c r="D13">
        <v>15</v>
      </c>
      <c r="E13">
        <v>88.03</v>
      </c>
      <c r="F13">
        <v>1.41</v>
      </c>
      <c r="G13">
        <v>16</v>
      </c>
      <c r="H13">
        <v>6</v>
      </c>
      <c r="I13">
        <v>5.5</v>
      </c>
      <c r="J13">
        <v>4.5</v>
      </c>
      <c r="K13">
        <v>0.14000000000000001</v>
      </c>
      <c r="L13" s="1">
        <f t="shared" si="0"/>
        <v>7.0294267741382797</v>
      </c>
      <c r="M13">
        <f t="shared" si="1"/>
        <v>0.59668208699778003</v>
      </c>
    </row>
    <row r="14" spans="1:13">
      <c r="A14">
        <v>2010</v>
      </c>
      <c r="B14">
        <v>6</v>
      </c>
      <c r="C14">
        <v>14</v>
      </c>
      <c r="D14">
        <v>16</v>
      </c>
      <c r="E14">
        <v>104</v>
      </c>
      <c r="F14">
        <v>1.0900000000000001</v>
      </c>
      <c r="G14">
        <v>3.5</v>
      </c>
      <c r="H14">
        <v>1</v>
      </c>
      <c r="I14">
        <v>6</v>
      </c>
      <c r="J14">
        <v>1.67</v>
      </c>
      <c r="K14">
        <v>3</v>
      </c>
      <c r="L14" s="1">
        <f t="shared" si="0"/>
        <v>2.73441416862951</v>
      </c>
      <c r="M14">
        <f t="shared" si="1"/>
        <v>0.70492942233067302</v>
      </c>
    </row>
    <row r="15" spans="1:13">
      <c r="A15">
        <v>2010</v>
      </c>
      <c r="B15">
        <v>6</v>
      </c>
      <c r="C15">
        <v>14</v>
      </c>
      <c r="D15">
        <v>17</v>
      </c>
      <c r="E15">
        <v>137</v>
      </c>
      <c r="F15">
        <v>0.76</v>
      </c>
      <c r="G15">
        <v>5.5</v>
      </c>
      <c r="H15">
        <v>0</v>
      </c>
      <c r="I15">
        <v>0.5</v>
      </c>
      <c r="J15">
        <v>1.33</v>
      </c>
      <c r="K15">
        <v>0</v>
      </c>
      <c r="L15" s="1">
        <f t="shared" si="0"/>
        <v>1.9600872312503701</v>
      </c>
      <c r="M15">
        <f t="shared" si="1"/>
        <v>0.92860895057021298</v>
      </c>
    </row>
    <row r="16" spans="1:13">
      <c r="A16">
        <v>2010</v>
      </c>
      <c r="B16">
        <v>6</v>
      </c>
      <c r="C16">
        <v>14</v>
      </c>
      <c r="D16">
        <v>18</v>
      </c>
      <c r="E16">
        <v>188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f t="shared" si="0"/>
        <v>0</v>
      </c>
      <c r="M16">
        <f t="shared" si="1"/>
        <v>1.2742954942131399</v>
      </c>
    </row>
    <row r="17" spans="1:13">
      <c r="A17">
        <v>2010</v>
      </c>
      <c r="B17">
        <v>6</v>
      </c>
      <c r="C17">
        <v>14</v>
      </c>
      <c r="D17">
        <v>19</v>
      </c>
      <c r="E17">
        <v>163</v>
      </c>
      <c r="F17">
        <v>14</v>
      </c>
      <c r="G17">
        <v>0.5</v>
      </c>
      <c r="H17">
        <v>0</v>
      </c>
      <c r="I17">
        <v>3</v>
      </c>
      <c r="J17">
        <v>4.5</v>
      </c>
      <c r="K17">
        <v>9</v>
      </c>
      <c r="L17" s="1">
        <f t="shared" si="0"/>
        <v>5.1805393161958699</v>
      </c>
      <c r="M17">
        <f t="shared" si="1"/>
        <v>1.1048413061528799</v>
      </c>
    </row>
    <row r="18" spans="1:13">
      <c r="A18">
        <v>2010</v>
      </c>
      <c r="B18">
        <v>6</v>
      </c>
      <c r="C18">
        <v>14</v>
      </c>
      <c r="D18">
        <v>20</v>
      </c>
      <c r="E18">
        <v>155.97</v>
      </c>
      <c r="F18">
        <v>3.5</v>
      </c>
      <c r="G18">
        <v>1</v>
      </c>
      <c r="H18">
        <v>1</v>
      </c>
      <c r="I18">
        <v>2</v>
      </c>
      <c r="J18">
        <v>1.5</v>
      </c>
      <c r="K18">
        <v>1.5</v>
      </c>
      <c r="L18" s="1">
        <f t="shared" si="0"/>
        <v>1.7936085645912301</v>
      </c>
      <c r="M18">
        <f t="shared" si="1"/>
        <v>1.05719078847034</v>
      </c>
    </row>
    <row r="19" spans="1:13">
      <c r="A19">
        <v>2010</v>
      </c>
      <c r="B19">
        <v>6</v>
      </c>
      <c r="C19">
        <v>14</v>
      </c>
      <c r="D19">
        <v>21</v>
      </c>
      <c r="E19">
        <v>161.88</v>
      </c>
      <c r="F19">
        <v>0</v>
      </c>
      <c r="G19">
        <v>0.75</v>
      </c>
      <c r="H19">
        <v>1.03</v>
      </c>
      <c r="I19">
        <v>0.5</v>
      </c>
      <c r="J19">
        <v>0</v>
      </c>
      <c r="K19">
        <v>0.56000000000000005</v>
      </c>
      <c r="L19" s="1">
        <f t="shared" si="0"/>
        <v>0.52744628772944602</v>
      </c>
      <c r="M19">
        <f t="shared" si="1"/>
        <v>1.0972497585277801</v>
      </c>
    </row>
    <row r="20" spans="1:13">
      <c r="A20">
        <v>2010</v>
      </c>
      <c r="B20">
        <v>6</v>
      </c>
      <c r="C20">
        <v>14</v>
      </c>
      <c r="D20">
        <v>22</v>
      </c>
      <c r="E20">
        <v>158</v>
      </c>
      <c r="F20">
        <v>0</v>
      </c>
      <c r="G20">
        <v>0.75</v>
      </c>
      <c r="H20">
        <v>1.47</v>
      </c>
      <c r="I20">
        <v>0</v>
      </c>
      <c r="J20">
        <v>0.42</v>
      </c>
      <c r="K20">
        <v>0.44</v>
      </c>
      <c r="L20" s="1">
        <f t="shared" si="0"/>
        <v>0.53397219445056399</v>
      </c>
      <c r="M20">
        <f t="shared" si="1"/>
        <v>1.07095046854083</v>
      </c>
    </row>
    <row r="21" spans="1:13">
      <c r="A21">
        <v>2010</v>
      </c>
      <c r="B21">
        <v>6</v>
      </c>
      <c r="C21">
        <v>14</v>
      </c>
      <c r="D21">
        <v>23</v>
      </c>
      <c r="E21">
        <v>148</v>
      </c>
      <c r="F21">
        <v>4</v>
      </c>
      <c r="G21">
        <v>0</v>
      </c>
      <c r="H21">
        <v>0</v>
      </c>
      <c r="I21">
        <v>0</v>
      </c>
      <c r="J21">
        <v>0.83</v>
      </c>
      <c r="K21">
        <v>0</v>
      </c>
      <c r="L21" s="1">
        <f t="shared" si="0"/>
        <v>0.95234261000871601</v>
      </c>
      <c r="M21">
        <f t="shared" si="1"/>
        <v>1.0031687933167299</v>
      </c>
    </row>
    <row r="22" spans="1:13">
      <c r="A22">
        <v>2010</v>
      </c>
      <c r="B22">
        <v>6</v>
      </c>
      <c r="C22">
        <v>15</v>
      </c>
      <c r="D22">
        <v>0</v>
      </c>
      <c r="E22">
        <v>113</v>
      </c>
      <c r="F22">
        <v>4</v>
      </c>
      <c r="G22">
        <v>0.25</v>
      </c>
      <c r="H22">
        <v>0</v>
      </c>
      <c r="I22">
        <v>1.5</v>
      </c>
      <c r="J22">
        <v>1.25</v>
      </c>
      <c r="K22">
        <v>3.5</v>
      </c>
      <c r="L22" s="1">
        <f t="shared" si="0"/>
        <v>1.7215458175882199</v>
      </c>
      <c r="M22">
        <f t="shared" si="1"/>
        <v>0.76593293003236596</v>
      </c>
    </row>
    <row r="23" spans="1:13">
      <c r="A23">
        <v>2010</v>
      </c>
      <c r="B23">
        <v>6</v>
      </c>
      <c r="C23">
        <v>15</v>
      </c>
      <c r="D23">
        <v>1</v>
      </c>
      <c r="E23">
        <v>105.05</v>
      </c>
      <c r="F23">
        <v>0.68</v>
      </c>
      <c r="G23">
        <v>0.5</v>
      </c>
      <c r="H23">
        <v>0</v>
      </c>
      <c r="I23">
        <v>0</v>
      </c>
      <c r="J23">
        <v>0</v>
      </c>
      <c r="K23">
        <v>0.5</v>
      </c>
      <c r="L23" s="1">
        <f t="shared" si="0"/>
        <v>0.37383646164592799</v>
      </c>
      <c r="M23">
        <f t="shared" si="1"/>
        <v>0.71204649822920396</v>
      </c>
    </row>
    <row r="24" spans="1:13">
      <c r="A24">
        <v>2010</v>
      </c>
      <c r="B24">
        <v>6</v>
      </c>
      <c r="C24">
        <v>15</v>
      </c>
      <c r="D24">
        <v>2</v>
      </c>
      <c r="E24">
        <v>109.06</v>
      </c>
      <c r="F24">
        <v>0.5</v>
      </c>
      <c r="G24">
        <v>0.75</v>
      </c>
      <c r="H24">
        <v>0.5</v>
      </c>
      <c r="I24">
        <v>0.5</v>
      </c>
      <c r="J24">
        <v>0</v>
      </c>
      <c r="K24">
        <v>0</v>
      </c>
      <c r="L24" s="1">
        <f t="shared" si="0"/>
        <v>0.48305363978181798</v>
      </c>
      <c r="M24">
        <f t="shared" si="1"/>
        <v>0.73922694999406902</v>
      </c>
    </row>
    <row r="25" spans="1:13">
      <c r="A25">
        <v>2010</v>
      </c>
      <c r="B25">
        <v>6</v>
      </c>
      <c r="C25">
        <v>15</v>
      </c>
      <c r="D25">
        <v>3</v>
      </c>
      <c r="E25">
        <v>107.96</v>
      </c>
      <c r="F25">
        <v>0.32</v>
      </c>
      <c r="G25">
        <v>1</v>
      </c>
      <c r="H25">
        <v>0</v>
      </c>
      <c r="I25">
        <v>0</v>
      </c>
      <c r="J25">
        <v>0</v>
      </c>
      <c r="K25">
        <v>0</v>
      </c>
      <c r="L25" s="1">
        <f t="shared" si="0"/>
        <v>0.37424446967428998</v>
      </c>
      <c r="M25">
        <f t="shared" si="1"/>
        <v>0.73177096571941802</v>
      </c>
    </row>
    <row r="26" spans="1:13">
      <c r="A26">
        <v>2010</v>
      </c>
      <c r="B26">
        <v>6</v>
      </c>
      <c r="C26">
        <v>15</v>
      </c>
      <c r="D26">
        <v>4</v>
      </c>
      <c r="E26">
        <v>109.41</v>
      </c>
      <c r="F26">
        <v>0</v>
      </c>
      <c r="G26">
        <v>0</v>
      </c>
      <c r="H26">
        <v>0</v>
      </c>
      <c r="I26">
        <v>0.5</v>
      </c>
      <c r="J26">
        <v>0</v>
      </c>
      <c r="K26">
        <v>0.5</v>
      </c>
      <c r="L26" s="1">
        <f t="shared" si="0"/>
        <v>0.13370970991325901</v>
      </c>
      <c r="M26">
        <f t="shared" si="1"/>
        <v>0.74159930862691303</v>
      </c>
    </row>
    <row r="27" spans="1:13">
      <c r="A27">
        <v>2010</v>
      </c>
      <c r="B27">
        <v>6</v>
      </c>
      <c r="C27">
        <v>15</v>
      </c>
      <c r="D27">
        <v>5</v>
      </c>
      <c r="E27">
        <v>111.7</v>
      </c>
      <c r="F27">
        <v>0.67</v>
      </c>
      <c r="G27">
        <v>1</v>
      </c>
      <c r="H27">
        <v>0</v>
      </c>
      <c r="I27">
        <v>0</v>
      </c>
      <c r="J27">
        <v>0.25</v>
      </c>
      <c r="K27">
        <v>0</v>
      </c>
      <c r="L27" s="1">
        <f t="shared" si="0"/>
        <v>0.46613900515328999</v>
      </c>
      <c r="M27">
        <f t="shared" si="1"/>
        <v>0.75712131225323198</v>
      </c>
    </row>
    <row r="28" spans="1:13">
      <c r="A28">
        <v>2010</v>
      </c>
      <c r="B28">
        <v>6</v>
      </c>
      <c r="C28">
        <v>15</v>
      </c>
      <c r="D28">
        <v>6</v>
      </c>
      <c r="E28">
        <v>101</v>
      </c>
      <c r="F28">
        <v>1.33</v>
      </c>
      <c r="G28">
        <v>4</v>
      </c>
      <c r="H28">
        <v>1.5</v>
      </c>
      <c r="I28">
        <v>1</v>
      </c>
      <c r="J28">
        <v>0.5</v>
      </c>
      <c r="K28">
        <v>0.57999999999999996</v>
      </c>
      <c r="L28" s="1">
        <f t="shared" si="0"/>
        <v>1.97517142173947</v>
      </c>
      <c r="M28">
        <f t="shared" si="1"/>
        <v>0.684594919763442</v>
      </c>
    </row>
    <row r="29" spans="1:13">
      <c r="A29">
        <v>2010</v>
      </c>
      <c r="B29">
        <v>6</v>
      </c>
      <c r="C29">
        <v>15</v>
      </c>
      <c r="D29">
        <v>7</v>
      </c>
      <c r="E29">
        <v>78.7</v>
      </c>
      <c r="F29">
        <v>0</v>
      </c>
      <c r="G29">
        <v>1.81</v>
      </c>
      <c r="H29">
        <v>15</v>
      </c>
      <c r="I29">
        <v>0</v>
      </c>
      <c r="J29">
        <v>0.75</v>
      </c>
      <c r="K29">
        <v>1.17</v>
      </c>
      <c r="L29" s="1">
        <f t="shared" si="0"/>
        <v>3.0653879277070799</v>
      </c>
      <c r="M29">
        <f t="shared" si="1"/>
        <v>0.53344178401369202</v>
      </c>
    </row>
    <row r="30" spans="1:13">
      <c r="A30">
        <v>2010</v>
      </c>
      <c r="B30">
        <v>6</v>
      </c>
      <c r="C30">
        <v>15</v>
      </c>
      <c r="D30">
        <v>8</v>
      </c>
      <c r="E30">
        <v>82</v>
      </c>
      <c r="F30">
        <v>7</v>
      </c>
      <c r="G30">
        <v>1.69</v>
      </c>
      <c r="H30">
        <v>5</v>
      </c>
      <c r="I30">
        <v>2</v>
      </c>
      <c r="J30">
        <v>1</v>
      </c>
      <c r="K30">
        <v>1.75</v>
      </c>
      <c r="L30" s="1">
        <f t="shared" si="0"/>
        <v>3.4294936708860799</v>
      </c>
      <c r="M30">
        <f t="shared" si="1"/>
        <v>0.55580973683764601</v>
      </c>
    </row>
    <row r="31" spans="1:13">
      <c r="A31">
        <v>2010</v>
      </c>
      <c r="B31">
        <v>6</v>
      </c>
      <c r="C31">
        <v>15</v>
      </c>
      <c r="D31">
        <v>9</v>
      </c>
      <c r="E31">
        <v>89.2</v>
      </c>
      <c r="F31">
        <v>0</v>
      </c>
      <c r="G31">
        <v>5.5</v>
      </c>
      <c r="H31">
        <v>31</v>
      </c>
      <c r="I31">
        <v>10</v>
      </c>
      <c r="J31">
        <v>13.5</v>
      </c>
      <c r="K31">
        <v>1.56</v>
      </c>
      <c r="L31" s="1">
        <f t="shared" si="0"/>
        <v>8.6370715680349193</v>
      </c>
      <c r="M31">
        <f t="shared" si="1"/>
        <v>0.60461254299900002</v>
      </c>
    </row>
    <row r="32" spans="1:13">
      <c r="A32">
        <v>2010</v>
      </c>
      <c r="B32">
        <v>6</v>
      </c>
      <c r="C32">
        <v>15</v>
      </c>
      <c r="D32">
        <v>10</v>
      </c>
      <c r="E32">
        <v>137</v>
      </c>
      <c r="F32">
        <v>1</v>
      </c>
      <c r="G32">
        <v>0</v>
      </c>
      <c r="H32">
        <v>8</v>
      </c>
      <c r="I32">
        <v>0</v>
      </c>
      <c r="J32">
        <v>0.88</v>
      </c>
      <c r="K32">
        <v>1.44</v>
      </c>
      <c r="L32" s="1">
        <f t="shared" si="0"/>
        <v>1.7064687441750099</v>
      </c>
      <c r="M32">
        <f t="shared" si="1"/>
        <v>0.92860895057021298</v>
      </c>
    </row>
    <row r="33" spans="1:13">
      <c r="A33">
        <v>2010</v>
      </c>
      <c r="B33">
        <v>6</v>
      </c>
      <c r="C33">
        <v>15</v>
      </c>
      <c r="D33">
        <v>11</v>
      </c>
      <c r="E33">
        <v>128.01</v>
      </c>
      <c r="F33">
        <v>0</v>
      </c>
      <c r="G33">
        <v>0</v>
      </c>
      <c r="H33">
        <v>0</v>
      </c>
      <c r="I33">
        <v>0</v>
      </c>
      <c r="J33">
        <v>0.12</v>
      </c>
      <c r="K33">
        <v>0</v>
      </c>
      <c r="L33" s="1">
        <f t="shared" si="0"/>
        <v>5.7942035370737504E-3</v>
      </c>
      <c r="M33">
        <f t="shared" si="1"/>
        <v>0.86767322454374496</v>
      </c>
    </row>
    <row r="34" spans="1:13">
      <c r="A34">
        <v>2010</v>
      </c>
      <c r="B34">
        <v>6</v>
      </c>
      <c r="C34">
        <v>15</v>
      </c>
      <c r="D34">
        <v>12</v>
      </c>
      <c r="E34">
        <v>147</v>
      </c>
      <c r="F34">
        <v>1</v>
      </c>
      <c r="G34">
        <v>0</v>
      </c>
      <c r="H34">
        <v>0</v>
      </c>
      <c r="I34">
        <v>0</v>
      </c>
      <c r="J34">
        <v>0</v>
      </c>
      <c r="K34">
        <v>0.33</v>
      </c>
      <c r="L34" s="1">
        <f t="shared" si="0"/>
        <v>0.27302547273011402</v>
      </c>
      <c r="M34">
        <f t="shared" si="1"/>
        <v>0.99639062579431603</v>
      </c>
    </row>
    <row r="35" spans="1:13">
      <c r="A35">
        <v>2010</v>
      </c>
      <c r="B35">
        <v>6</v>
      </c>
      <c r="C35">
        <v>15</v>
      </c>
      <c r="D35">
        <v>13</v>
      </c>
      <c r="E35">
        <v>168</v>
      </c>
      <c r="F35">
        <v>2</v>
      </c>
      <c r="G35">
        <v>0.5</v>
      </c>
      <c r="H35">
        <v>0</v>
      </c>
      <c r="I35">
        <v>0.5</v>
      </c>
      <c r="J35">
        <v>0.5</v>
      </c>
      <c r="K35">
        <v>0.67</v>
      </c>
      <c r="L35" s="1">
        <f t="shared" si="0"/>
        <v>0.78777751418237396</v>
      </c>
      <c r="M35">
        <f t="shared" si="1"/>
        <v>1.13873214376493</v>
      </c>
    </row>
    <row r="36" spans="1:13">
      <c r="A36">
        <v>2010</v>
      </c>
      <c r="B36">
        <v>6</v>
      </c>
      <c r="C36">
        <v>15</v>
      </c>
      <c r="D36">
        <v>14</v>
      </c>
      <c r="E36">
        <v>166.99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1">
        <f t="shared" si="0"/>
        <v>0</v>
      </c>
      <c r="M36">
        <f t="shared" si="1"/>
        <v>1.1318861945673</v>
      </c>
    </row>
    <row r="37" spans="1:13">
      <c r="A37">
        <v>2010</v>
      </c>
      <c r="B37">
        <v>6</v>
      </c>
      <c r="C37">
        <v>15</v>
      </c>
      <c r="D37">
        <v>15</v>
      </c>
      <c r="E37">
        <v>155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1">
        <f t="shared" ref="L37:L68" si="2">F37*$F$2+G37*$G$2+H37*$H$2+I37*$I$2+J37*$J$2+K37*$K$2</f>
        <v>0</v>
      </c>
      <c r="M37">
        <f t="shared" ref="M37:M68" si="3">E37*3600/(1000*$L$1)</f>
        <v>1.0506159659736001</v>
      </c>
    </row>
    <row r="38" spans="1:13">
      <c r="A38">
        <v>2010</v>
      </c>
      <c r="B38">
        <v>6</v>
      </c>
      <c r="C38">
        <v>15</v>
      </c>
      <c r="D38">
        <v>16</v>
      </c>
      <c r="E38">
        <v>144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1">
        <f t="shared" si="2"/>
        <v>0</v>
      </c>
      <c r="M38">
        <f t="shared" si="3"/>
        <v>0.97605612322708601</v>
      </c>
    </row>
    <row r="39" spans="1:13">
      <c r="A39">
        <v>2010</v>
      </c>
      <c r="B39">
        <v>6</v>
      </c>
      <c r="C39">
        <v>15</v>
      </c>
      <c r="D39">
        <v>17</v>
      </c>
      <c r="E39">
        <v>69.400000000000006</v>
      </c>
      <c r="F39">
        <v>25.5</v>
      </c>
      <c r="G39">
        <v>7.5</v>
      </c>
      <c r="H39">
        <v>3</v>
      </c>
      <c r="I39">
        <v>5.5</v>
      </c>
      <c r="J39">
        <v>3.5</v>
      </c>
      <c r="K39">
        <v>5</v>
      </c>
      <c r="L39" s="1">
        <f t="shared" si="2"/>
        <v>10.1117522127893</v>
      </c>
      <c r="M39">
        <f t="shared" si="3"/>
        <v>0.470404826055276</v>
      </c>
    </row>
    <row r="40" spans="1:13">
      <c r="A40">
        <v>2010</v>
      </c>
      <c r="B40">
        <v>6</v>
      </c>
      <c r="C40">
        <v>15</v>
      </c>
      <c r="D40">
        <v>18</v>
      </c>
      <c r="E40">
        <v>112</v>
      </c>
      <c r="F40">
        <v>0.93</v>
      </c>
      <c r="G40">
        <v>1.17</v>
      </c>
      <c r="H40">
        <v>5.5</v>
      </c>
      <c r="I40">
        <v>1.22</v>
      </c>
      <c r="J40">
        <v>3.5</v>
      </c>
      <c r="K40">
        <v>4.5</v>
      </c>
      <c r="L40" s="1">
        <f t="shared" si="2"/>
        <v>2.3590061323587901</v>
      </c>
      <c r="M40">
        <f t="shared" si="3"/>
        <v>0.75915476250995495</v>
      </c>
    </row>
    <row r="41" spans="1:13">
      <c r="A41">
        <v>2010</v>
      </c>
      <c r="B41">
        <v>6</v>
      </c>
      <c r="C41">
        <v>15</v>
      </c>
      <c r="D41">
        <v>19</v>
      </c>
      <c r="E41">
        <v>160</v>
      </c>
      <c r="F41">
        <v>7.0000000000000007E-2</v>
      </c>
      <c r="G41">
        <v>0.83</v>
      </c>
      <c r="H41">
        <v>1.3</v>
      </c>
      <c r="I41">
        <v>1</v>
      </c>
      <c r="J41">
        <v>0.94</v>
      </c>
      <c r="K41">
        <v>0</v>
      </c>
      <c r="L41" s="1">
        <f t="shared" si="2"/>
        <v>0.64403677532445802</v>
      </c>
      <c r="M41">
        <f t="shared" si="3"/>
        <v>1.08450680358565</v>
      </c>
    </row>
    <row r="42" spans="1:13">
      <c r="A42">
        <v>2010</v>
      </c>
      <c r="B42">
        <v>6</v>
      </c>
      <c r="C42">
        <v>15</v>
      </c>
      <c r="D42">
        <v>20</v>
      </c>
      <c r="E42">
        <v>116</v>
      </c>
      <c r="F42">
        <v>0</v>
      </c>
      <c r="G42">
        <v>0.5</v>
      </c>
      <c r="H42">
        <v>0.7</v>
      </c>
      <c r="I42">
        <v>0.78</v>
      </c>
      <c r="J42">
        <v>0.56000000000000005</v>
      </c>
      <c r="K42">
        <v>0</v>
      </c>
      <c r="L42" s="1">
        <f t="shared" si="2"/>
        <v>0.38846781405980302</v>
      </c>
      <c r="M42">
        <f t="shared" si="3"/>
        <v>0.78626743259959697</v>
      </c>
    </row>
    <row r="43" spans="1:13">
      <c r="A43">
        <v>2010</v>
      </c>
      <c r="B43">
        <v>6</v>
      </c>
      <c r="C43">
        <v>15</v>
      </c>
      <c r="D43">
        <v>21</v>
      </c>
      <c r="E43">
        <v>112.64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1">
        <f t="shared" si="2"/>
        <v>0</v>
      </c>
      <c r="M43">
        <f t="shared" si="3"/>
        <v>0.76349278972429802</v>
      </c>
    </row>
    <row r="44" spans="1:13">
      <c r="A44">
        <v>2010</v>
      </c>
      <c r="B44">
        <v>6</v>
      </c>
      <c r="C44">
        <v>15</v>
      </c>
      <c r="D44">
        <v>22</v>
      </c>
      <c r="E44">
        <v>122.44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1">
        <f t="shared" si="2"/>
        <v>0</v>
      </c>
      <c r="M44">
        <f t="shared" si="3"/>
        <v>0.82991883144391898</v>
      </c>
    </row>
    <row r="45" spans="1:13">
      <c r="A45">
        <v>2010</v>
      </c>
      <c r="B45">
        <v>6</v>
      </c>
      <c r="C45">
        <v>15</v>
      </c>
      <c r="D45">
        <v>23</v>
      </c>
      <c r="E45">
        <v>125.08</v>
      </c>
      <c r="F45">
        <v>0</v>
      </c>
      <c r="G45">
        <v>0</v>
      </c>
      <c r="H45">
        <v>0.5</v>
      </c>
      <c r="I45">
        <v>0</v>
      </c>
      <c r="J45">
        <v>0</v>
      </c>
      <c r="K45">
        <v>0</v>
      </c>
      <c r="L45" s="1">
        <f t="shared" si="2"/>
        <v>7.7482927490552994E-2</v>
      </c>
      <c r="M45">
        <f t="shared" si="3"/>
        <v>0.84781319370308195</v>
      </c>
    </row>
    <row r="46" spans="1:13">
      <c r="A46">
        <v>2010</v>
      </c>
      <c r="B46">
        <v>6</v>
      </c>
      <c r="C46">
        <v>16</v>
      </c>
      <c r="D46">
        <v>0</v>
      </c>
      <c r="E46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1">
        <f t="shared" si="2"/>
        <v>0</v>
      </c>
      <c r="M46">
        <f t="shared" si="3"/>
        <v>0.83371460525646901</v>
      </c>
    </row>
    <row r="47" spans="1:13">
      <c r="A47">
        <v>2010</v>
      </c>
      <c r="B47">
        <v>6</v>
      </c>
      <c r="C47">
        <v>16</v>
      </c>
      <c r="D47">
        <v>1</v>
      </c>
      <c r="E47">
        <v>121.87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1">
        <f t="shared" si="2"/>
        <v>0</v>
      </c>
      <c r="M47">
        <f t="shared" si="3"/>
        <v>0.82605527595614503</v>
      </c>
    </row>
    <row r="48" spans="1:13">
      <c r="A48">
        <v>2010</v>
      </c>
      <c r="B48">
        <v>6</v>
      </c>
      <c r="C48">
        <v>16</v>
      </c>
      <c r="D48">
        <v>2</v>
      </c>
      <c r="E48">
        <v>120.67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1">
        <f t="shared" si="2"/>
        <v>0</v>
      </c>
      <c r="M48">
        <f t="shared" si="3"/>
        <v>0.81792147492925305</v>
      </c>
    </row>
    <row r="49" spans="1:13">
      <c r="A49">
        <v>2010</v>
      </c>
      <c r="B49">
        <v>6</v>
      </c>
      <c r="C49">
        <v>16</v>
      </c>
      <c r="D49">
        <v>3</v>
      </c>
      <c r="E49">
        <v>117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1">
        <f t="shared" si="2"/>
        <v>0</v>
      </c>
      <c r="M49">
        <f t="shared" si="3"/>
        <v>0.79304560012200698</v>
      </c>
    </row>
    <row r="50" spans="1:13">
      <c r="A50">
        <v>2010</v>
      </c>
      <c r="B50">
        <v>6</v>
      </c>
      <c r="C50">
        <v>16</v>
      </c>
      <c r="D50">
        <v>4</v>
      </c>
      <c r="E50">
        <v>113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1">
        <f t="shared" si="2"/>
        <v>0</v>
      </c>
      <c r="M50">
        <f t="shared" si="3"/>
        <v>0.76593293003236596</v>
      </c>
    </row>
    <row r="51" spans="1:13">
      <c r="A51">
        <v>2010</v>
      </c>
      <c r="B51">
        <v>6</v>
      </c>
      <c r="C51">
        <v>16</v>
      </c>
      <c r="D51">
        <v>5</v>
      </c>
      <c r="E51">
        <v>105</v>
      </c>
      <c r="F51">
        <v>0.5</v>
      </c>
      <c r="G51">
        <v>0</v>
      </c>
      <c r="H51">
        <v>0</v>
      </c>
      <c r="I51">
        <v>0</v>
      </c>
      <c r="J51">
        <v>0</v>
      </c>
      <c r="K51">
        <v>0</v>
      </c>
      <c r="L51" s="1">
        <f t="shared" si="2"/>
        <v>0.114033254442995</v>
      </c>
      <c r="M51">
        <f t="shared" si="3"/>
        <v>0.71170758985308302</v>
      </c>
    </row>
    <row r="52" spans="1:13">
      <c r="A52">
        <v>2010</v>
      </c>
      <c r="B52">
        <v>6</v>
      </c>
      <c r="C52">
        <v>16</v>
      </c>
      <c r="D52">
        <v>6</v>
      </c>
      <c r="E52">
        <v>100</v>
      </c>
      <c r="F52">
        <v>3.5</v>
      </c>
      <c r="G52">
        <v>0.5</v>
      </c>
      <c r="H52">
        <v>1</v>
      </c>
      <c r="I52">
        <v>0.5</v>
      </c>
      <c r="J52">
        <v>1</v>
      </c>
      <c r="K52">
        <v>1</v>
      </c>
      <c r="L52" s="1">
        <f t="shared" si="2"/>
        <v>1.3539446110744</v>
      </c>
      <c r="M52">
        <f t="shared" si="3"/>
        <v>0.67781675224103199</v>
      </c>
    </row>
    <row r="53" spans="1:13">
      <c r="A53">
        <v>2010</v>
      </c>
      <c r="B53">
        <v>6</v>
      </c>
      <c r="C53">
        <v>16</v>
      </c>
      <c r="D53">
        <v>7</v>
      </c>
      <c r="E53">
        <v>75.61</v>
      </c>
      <c r="F53">
        <v>18</v>
      </c>
      <c r="G53">
        <v>3.5</v>
      </c>
      <c r="H53">
        <v>3</v>
      </c>
      <c r="I53">
        <v>3.5</v>
      </c>
      <c r="J53">
        <v>2</v>
      </c>
      <c r="K53">
        <v>10</v>
      </c>
      <c r="L53" s="1">
        <f t="shared" si="2"/>
        <v>7.5426092555877498</v>
      </c>
      <c r="M53">
        <f t="shared" si="3"/>
        <v>0.51249724636944405</v>
      </c>
    </row>
    <row r="54" spans="1:13">
      <c r="A54">
        <v>2010</v>
      </c>
      <c r="B54">
        <v>6</v>
      </c>
      <c r="C54">
        <v>16</v>
      </c>
      <c r="D54">
        <v>8</v>
      </c>
      <c r="E54">
        <v>73.5</v>
      </c>
      <c r="F54">
        <v>26</v>
      </c>
      <c r="G54">
        <v>8.5</v>
      </c>
      <c r="H54">
        <v>1</v>
      </c>
      <c r="I54">
        <v>14</v>
      </c>
      <c r="J54">
        <v>6</v>
      </c>
      <c r="K54">
        <v>19.5</v>
      </c>
      <c r="L54" s="1">
        <f t="shared" si="2"/>
        <v>13.428330292572101</v>
      </c>
      <c r="M54">
        <f t="shared" si="3"/>
        <v>0.49819531289715802</v>
      </c>
    </row>
    <row r="55" spans="1:13">
      <c r="A55">
        <v>2010</v>
      </c>
      <c r="B55">
        <v>6</v>
      </c>
      <c r="C55">
        <v>16</v>
      </c>
      <c r="D55">
        <v>9</v>
      </c>
      <c r="E55">
        <v>152</v>
      </c>
      <c r="F55">
        <v>5.5</v>
      </c>
      <c r="G55">
        <v>17.5</v>
      </c>
      <c r="H55">
        <v>1</v>
      </c>
      <c r="I55">
        <v>48.5</v>
      </c>
      <c r="J55">
        <v>27</v>
      </c>
      <c r="K55">
        <v>9</v>
      </c>
      <c r="L55" s="1">
        <f t="shared" si="2"/>
        <v>15.573523347962899</v>
      </c>
      <c r="M55">
        <f t="shared" si="3"/>
        <v>1.0302814634063699</v>
      </c>
    </row>
    <row r="56" spans="1:13">
      <c r="A56">
        <v>2010</v>
      </c>
      <c r="B56">
        <v>6</v>
      </c>
      <c r="C56">
        <v>16</v>
      </c>
      <c r="D56">
        <v>10</v>
      </c>
      <c r="E56">
        <v>247</v>
      </c>
      <c r="F56">
        <v>1</v>
      </c>
      <c r="G56">
        <v>8.5</v>
      </c>
      <c r="H56">
        <v>4</v>
      </c>
      <c r="I56">
        <v>4.5</v>
      </c>
      <c r="J56">
        <v>5</v>
      </c>
      <c r="K56">
        <v>2.5</v>
      </c>
      <c r="L56" s="1">
        <f t="shared" si="2"/>
        <v>4.5810009847171198</v>
      </c>
      <c r="M56">
        <f t="shared" si="3"/>
        <v>1.6742073780353499</v>
      </c>
    </row>
    <row r="57" spans="1:13">
      <c r="A57">
        <v>2010</v>
      </c>
      <c r="B57">
        <v>6</v>
      </c>
      <c r="C57">
        <v>16</v>
      </c>
      <c r="D57">
        <v>11</v>
      </c>
      <c r="E57">
        <v>260</v>
      </c>
      <c r="F57">
        <v>9</v>
      </c>
      <c r="G57">
        <v>1.5</v>
      </c>
      <c r="H57">
        <v>1.22</v>
      </c>
      <c r="I57">
        <v>3</v>
      </c>
      <c r="J57">
        <v>5</v>
      </c>
      <c r="K57">
        <v>14.5</v>
      </c>
      <c r="L57" s="1">
        <f t="shared" si="2"/>
        <v>5.3039868804802</v>
      </c>
      <c r="M57">
        <f t="shared" si="3"/>
        <v>1.7623235558266801</v>
      </c>
    </row>
    <row r="58" spans="1:13">
      <c r="A58">
        <v>2010</v>
      </c>
      <c r="B58">
        <v>6</v>
      </c>
      <c r="C58">
        <v>16</v>
      </c>
      <c r="D58">
        <v>12</v>
      </c>
      <c r="E58">
        <v>340.14</v>
      </c>
      <c r="F58">
        <v>0.5</v>
      </c>
      <c r="G58">
        <v>5.5</v>
      </c>
      <c r="H58">
        <v>1.17</v>
      </c>
      <c r="I58">
        <v>1.5</v>
      </c>
      <c r="J58">
        <v>5.5</v>
      </c>
      <c r="K58">
        <v>4</v>
      </c>
      <c r="L58" s="1">
        <f t="shared" si="2"/>
        <v>2.9595858351361399</v>
      </c>
      <c r="M58">
        <f t="shared" si="3"/>
        <v>2.3055259010726501</v>
      </c>
    </row>
    <row r="59" spans="1:13">
      <c r="A59">
        <v>2010</v>
      </c>
      <c r="B59">
        <v>6</v>
      </c>
      <c r="C59">
        <v>16</v>
      </c>
      <c r="D59">
        <v>13</v>
      </c>
      <c r="E59">
        <v>327</v>
      </c>
      <c r="F59">
        <v>0</v>
      </c>
      <c r="G59">
        <v>2</v>
      </c>
      <c r="H59">
        <v>1.1100000000000001</v>
      </c>
      <c r="I59">
        <v>3</v>
      </c>
      <c r="J59">
        <v>3.5</v>
      </c>
      <c r="K59">
        <v>2.19</v>
      </c>
      <c r="L59" s="1">
        <f t="shared" si="2"/>
        <v>1.6354405149901099</v>
      </c>
      <c r="M59">
        <f t="shared" si="3"/>
        <v>2.2164607798281701</v>
      </c>
    </row>
    <row r="60" spans="1:13">
      <c r="A60">
        <v>2010</v>
      </c>
      <c r="B60">
        <v>6</v>
      </c>
      <c r="C60">
        <v>16</v>
      </c>
      <c r="D60">
        <v>14</v>
      </c>
      <c r="E60">
        <v>308</v>
      </c>
      <c r="F60">
        <v>5</v>
      </c>
      <c r="G60">
        <v>5</v>
      </c>
      <c r="H60">
        <v>3.5</v>
      </c>
      <c r="I60">
        <v>4</v>
      </c>
      <c r="J60">
        <v>2</v>
      </c>
      <c r="K60">
        <v>2.31</v>
      </c>
      <c r="L60" s="1">
        <f t="shared" si="2"/>
        <v>4.1250323186793096</v>
      </c>
      <c r="M60">
        <f t="shared" si="3"/>
        <v>2.0876755969023799</v>
      </c>
    </row>
    <row r="61" spans="1:13">
      <c r="A61">
        <v>2010</v>
      </c>
      <c r="B61">
        <v>6</v>
      </c>
      <c r="C61">
        <v>16</v>
      </c>
      <c r="D61">
        <v>15</v>
      </c>
      <c r="E61">
        <v>270</v>
      </c>
      <c r="F61">
        <v>3.5</v>
      </c>
      <c r="G61">
        <v>1.46</v>
      </c>
      <c r="H61">
        <v>4.5</v>
      </c>
      <c r="I61">
        <v>2</v>
      </c>
      <c r="J61">
        <v>3</v>
      </c>
      <c r="K61">
        <v>3</v>
      </c>
      <c r="L61" s="1">
        <f t="shared" si="2"/>
        <v>2.7513565937448798</v>
      </c>
      <c r="M61">
        <f t="shared" si="3"/>
        <v>1.8301052310507899</v>
      </c>
    </row>
    <row r="62" spans="1:13">
      <c r="A62">
        <v>2010</v>
      </c>
      <c r="B62">
        <v>6</v>
      </c>
      <c r="C62">
        <v>16</v>
      </c>
      <c r="D62">
        <v>16</v>
      </c>
      <c r="E62">
        <v>269.47000000000003</v>
      </c>
      <c r="F62">
        <v>3.5</v>
      </c>
      <c r="G62">
        <v>1.68</v>
      </c>
      <c r="H62">
        <v>10.5</v>
      </c>
      <c r="I62">
        <v>2</v>
      </c>
      <c r="J62">
        <v>4</v>
      </c>
      <c r="K62">
        <v>1.0900000000000001</v>
      </c>
      <c r="L62" s="1">
        <f t="shared" si="2"/>
        <v>3.5354976210514799</v>
      </c>
      <c r="M62">
        <f t="shared" si="3"/>
        <v>1.8265128022639101</v>
      </c>
    </row>
    <row r="63" spans="1:13">
      <c r="A63">
        <v>2010</v>
      </c>
      <c r="B63">
        <v>6</v>
      </c>
      <c r="C63">
        <v>16</v>
      </c>
      <c r="D63">
        <v>17</v>
      </c>
      <c r="E63">
        <v>222.22</v>
      </c>
      <c r="F63">
        <v>1.48</v>
      </c>
      <c r="G63">
        <v>1.9</v>
      </c>
      <c r="H63">
        <v>3</v>
      </c>
      <c r="I63">
        <v>3</v>
      </c>
      <c r="J63">
        <v>2.5</v>
      </c>
      <c r="K63">
        <v>1.28</v>
      </c>
      <c r="L63" s="1">
        <f t="shared" si="2"/>
        <v>2.06347531711469</v>
      </c>
      <c r="M63">
        <f t="shared" si="3"/>
        <v>1.5062443868300199</v>
      </c>
    </row>
    <row r="64" spans="1:13">
      <c r="A64">
        <v>2010</v>
      </c>
      <c r="B64">
        <v>6</v>
      </c>
      <c r="C64">
        <v>16</v>
      </c>
      <c r="D64">
        <v>18</v>
      </c>
      <c r="E64">
        <v>221.33</v>
      </c>
      <c r="F64">
        <v>1.67</v>
      </c>
      <c r="G64">
        <v>2.12</v>
      </c>
      <c r="H64">
        <v>1.5</v>
      </c>
      <c r="I64">
        <v>1.5</v>
      </c>
      <c r="J64">
        <v>3</v>
      </c>
      <c r="K64">
        <v>1.47</v>
      </c>
      <c r="L64" s="1">
        <f t="shared" si="2"/>
        <v>1.79389484802784</v>
      </c>
      <c r="M64">
        <f t="shared" si="3"/>
        <v>1.5002118177350801</v>
      </c>
    </row>
    <row r="65" spans="1:13">
      <c r="A65">
        <v>2010</v>
      </c>
      <c r="B65">
        <v>6</v>
      </c>
      <c r="C65">
        <v>16</v>
      </c>
      <c r="D65">
        <v>19</v>
      </c>
      <c r="E65">
        <v>216.51</v>
      </c>
      <c r="F65">
        <v>1.85</v>
      </c>
      <c r="G65">
        <v>2.34</v>
      </c>
      <c r="H65">
        <v>1.5</v>
      </c>
      <c r="I65">
        <v>1.5</v>
      </c>
      <c r="J65">
        <v>0.5</v>
      </c>
      <c r="K65">
        <v>1.66</v>
      </c>
      <c r="L65" s="1">
        <f t="shared" si="2"/>
        <v>1.80639761107251</v>
      </c>
      <c r="M65">
        <f t="shared" si="3"/>
        <v>1.4675410502770601</v>
      </c>
    </row>
    <row r="66" spans="1:13">
      <c r="A66">
        <v>2010</v>
      </c>
      <c r="B66">
        <v>6</v>
      </c>
      <c r="C66">
        <v>16</v>
      </c>
      <c r="D66">
        <v>20</v>
      </c>
      <c r="E66">
        <v>220.34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1">
        <f t="shared" si="2"/>
        <v>0</v>
      </c>
      <c r="M66">
        <f t="shared" si="3"/>
        <v>1.4935014318878901</v>
      </c>
    </row>
    <row r="67" spans="1:13">
      <c r="A67">
        <v>2010</v>
      </c>
      <c r="B67">
        <v>6</v>
      </c>
      <c r="C67">
        <v>16</v>
      </c>
      <c r="D67">
        <v>21</v>
      </c>
      <c r="E67">
        <v>214</v>
      </c>
      <c r="F67">
        <v>0</v>
      </c>
      <c r="G67">
        <v>0</v>
      </c>
      <c r="H67">
        <v>0.5</v>
      </c>
      <c r="I67">
        <v>0</v>
      </c>
      <c r="J67">
        <v>0.5</v>
      </c>
      <c r="K67">
        <v>0</v>
      </c>
      <c r="L67" s="1">
        <f t="shared" si="2"/>
        <v>0.10162544222835999</v>
      </c>
      <c r="M67">
        <f t="shared" si="3"/>
        <v>1.4505278497958101</v>
      </c>
    </row>
    <row r="68" spans="1:13">
      <c r="A68">
        <v>2010</v>
      </c>
      <c r="B68">
        <v>6</v>
      </c>
      <c r="C68">
        <v>16</v>
      </c>
      <c r="D68">
        <v>22</v>
      </c>
      <c r="E68">
        <v>205</v>
      </c>
      <c r="F68">
        <v>0.83</v>
      </c>
      <c r="G68">
        <v>1</v>
      </c>
      <c r="H68">
        <v>0</v>
      </c>
      <c r="I68">
        <v>0.5</v>
      </c>
      <c r="J68">
        <v>0</v>
      </c>
      <c r="K68">
        <v>0.33</v>
      </c>
      <c r="L68" s="1">
        <f t="shared" si="2"/>
        <v>0.60110742077545998</v>
      </c>
      <c r="M68">
        <f t="shared" si="3"/>
        <v>1.3895243420941099</v>
      </c>
    </row>
    <row r="69" spans="1:13">
      <c r="A69">
        <v>2010</v>
      </c>
      <c r="B69">
        <v>6</v>
      </c>
      <c r="C69">
        <v>16</v>
      </c>
      <c r="D69">
        <v>23</v>
      </c>
      <c r="E69">
        <v>170.3</v>
      </c>
      <c r="F69">
        <v>1.67</v>
      </c>
      <c r="G69">
        <v>0</v>
      </c>
      <c r="H69">
        <v>0.5</v>
      </c>
      <c r="I69">
        <v>1</v>
      </c>
      <c r="J69">
        <v>1</v>
      </c>
      <c r="K69">
        <v>0.67</v>
      </c>
      <c r="L69" s="1">
        <f t="shared" ref="L69:L92" si="4">F69*$F$2+G69*$G$2+H69*$H$2+I69*$I$2+J69*$J$2+K69*$K$2</f>
        <v>0.72909948278816095</v>
      </c>
      <c r="M69">
        <f t="shared" ref="M69:M92" si="5">E69*3600/(1000*$L$1)</f>
        <v>1.1543219290664799</v>
      </c>
    </row>
    <row r="70" spans="1:13">
      <c r="A70">
        <v>2010</v>
      </c>
      <c r="B70">
        <v>6</v>
      </c>
      <c r="C70">
        <v>17</v>
      </c>
      <c r="D70">
        <v>0</v>
      </c>
      <c r="E70">
        <v>183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1">
        <f t="shared" si="4"/>
        <v>0</v>
      </c>
      <c r="M70">
        <f t="shared" si="5"/>
        <v>1.24040465660109</v>
      </c>
    </row>
    <row r="71" spans="1:13">
      <c r="A71">
        <v>2010</v>
      </c>
      <c r="B71">
        <v>6</v>
      </c>
      <c r="C71">
        <v>17</v>
      </c>
      <c r="D71">
        <v>1</v>
      </c>
      <c r="E71">
        <v>172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1">
        <f t="shared" si="4"/>
        <v>0</v>
      </c>
      <c r="M71">
        <f t="shared" si="5"/>
        <v>1.1658448138545701</v>
      </c>
    </row>
    <row r="72" spans="1:13">
      <c r="A72">
        <v>2010</v>
      </c>
      <c r="B72">
        <v>6</v>
      </c>
      <c r="C72">
        <v>17</v>
      </c>
      <c r="D72">
        <v>2</v>
      </c>
      <c r="E72">
        <v>160</v>
      </c>
      <c r="F72">
        <v>0</v>
      </c>
      <c r="G72">
        <v>0</v>
      </c>
      <c r="H72">
        <v>0.5</v>
      </c>
      <c r="I72">
        <v>0</v>
      </c>
      <c r="J72">
        <v>0</v>
      </c>
      <c r="K72">
        <v>0</v>
      </c>
      <c r="L72" s="1">
        <f t="shared" si="4"/>
        <v>7.7482927490552994E-2</v>
      </c>
      <c r="M72">
        <f t="shared" si="5"/>
        <v>1.08450680358565</v>
      </c>
    </row>
    <row r="73" spans="1:13">
      <c r="A73">
        <v>2010</v>
      </c>
      <c r="B73">
        <v>6</v>
      </c>
      <c r="C73">
        <v>17</v>
      </c>
      <c r="D73">
        <v>3</v>
      </c>
      <c r="E73">
        <v>153</v>
      </c>
      <c r="F73">
        <v>0</v>
      </c>
      <c r="G73">
        <v>0.5</v>
      </c>
      <c r="H73">
        <v>0</v>
      </c>
      <c r="I73">
        <v>0</v>
      </c>
      <c r="J73">
        <v>0</v>
      </c>
      <c r="K73">
        <v>0</v>
      </c>
      <c r="L73" s="1">
        <f t="shared" si="4"/>
        <v>0.15063159341538701</v>
      </c>
      <c r="M73">
        <f t="shared" si="5"/>
        <v>1.0370596309287801</v>
      </c>
    </row>
    <row r="74" spans="1:13">
      <c r="A74">
        <v>2010</v>
      </c>
      <c r="B74">
        <v>6</v>
      </c>
      <c r="C74">
        <v>17</v>
      </c>
      <c r="D74">
        <v>4</v>
      </c>
      <c r="E74">
        <v>148.16999999999999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1">
        <f t="shared" si="4"/>
        <v>0</v>
      </c>
      <c r="M74">
        <f t="shared" si="5"/>
        <v>1.0043210817955399</v>
      </c>
    </row>
    <row r="75" spans="1:13">
      <c r="A75">
        <v>2010</v>
      </c>
      <c r="B75">
        <v>6</v>
      </c>
      <c r="C75">
        <v>17</v>
      </c>
      <c r="D75">
        <v>5</v>
      </c>
      <c r="E75">
        <v>143.88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 s="1">
        <f t="shared" si="4"/>
        <v>0.22806650888598901</v>
      </c>
      <c r="M75">
        <f t="shared" si="5"/>
        <v>0.97524274312439596</v>
      </c>
    </row>
    <row r="76" spans="1:13">
      <c r="A76">
        <v>2010</v>
      </c>
      <c r="B76">
        <v>6</v>
      </c>
      <c r="C76">
        <v>17</v>
      </c>
      <c r="D76">
        <v>6</v>
      </c>
      <c r="E76">
        <v>139.91</v>
      </c>
      <c r="F76">
        <v>2</v>
      </c>
      <c r="G76">
        <v>0.5</v>
      </c>
      <c r="H76">
        <v>0.33</v>
      </c>
      <c r="I76">
        <v>1</v>
      </c>
      <c r="J76">
        <v>0.42</v>
      </c>
      <c r="K76">
        <v>1</v>
      </c>
      <c r="L76" s="1">
        <f t="shared" si="4"/>
        <v>0.94560247553740495</v>
      </c>
      <c r="M76">
        <f t="shared" si="5"/>
        <v>0.94833341806042704</v>
      </c>
    </row>
    <row r="77" spans="1:13">
      <c r="A77">
        <v>2010</v>
      </c>
      <c r="B77">
        <v>6</v>
      </c>
      <c r="C77">
        <v>17</v>
      </c>
      <c r="D77">
        <v>7</v>
      </c>
      <c r="E77">
        <v>136.02000000000001</v>
      </c>
      <c r="F77">
        <v>9</v>
      </c>
      <c r="G77">
        <v>1</v>
      </c>
      <c r="H77">
        <v>0.67</v>
      </c>
      <c r="I77">
        <v>2</v>
      </c>
      <c r="J77">
        <v>0.83</v>
      </c>
      <c r="K77">
        <v>4</v>
      </c>
      <c r="L77" s="1">
        <f t="shared" si="4"/>
        <v>3.30508287251208</v>
      </c>
      <c r="M77">
        <f t="shared" si="5"/>
        <v>0.92196634639825104</v>
      </c>
    </row>
    <row r="78" spans="1:13">
      <c r="A78">
        <v>2010</v>
      </c>
      <c r="B78">
        <v>6</v>
      </c>
      <c r="C78">
        <v>17</v>
      </c>
      <c r="D78">
        <v>8</v>
      </c>
      <c r="E78">
        <v>132</v>
      </c>
      <c r="F78">
        <v>4.5</v>
      </c>
      <c r="G78">
        <v>0</v>
      </c>
      <c r="H78">
        <v>1</v>
      </c>
      <c r="I78">
        <v>0</v>
      </c>
      <c r="J78">
        <v>1.25</v>
      </c>
      <c r="K78">
        <v>19.5</v>
      </c>
      <c r="L78" s="1">
        <f t="shared" si="4"/>
        <v>3.89828747714723</v>
      </c>
      <c r="M78">
        <f t="shared" si="5"/>
        <v>0.89471811295816195</v>
      </c>
    </row>
    <row r="79" spans="1:13">
      <c r="A79">
        <v>2010</v>
      </c>
      <c r="B79">
        <v>6</v>
      </c>
      <c r="C79">
        <v>17</v>
      </c>
      <c r="D79">
        <v>9</v>
      </c>
      <c r="E79">
        <v>127.72</v>
      </c>
      <c r="F79">
        <v>0</v>
      </c>
      <c r="G79">
        <v>0</v>
      </c>
      <c r="H79">
        <v>0.5</v>
      </c>
      <c r="I79">
        <v>0</v>
      </c>
      <c r="J79">
        <v>0.5</v>
      </c>
      <c r="K79">
        <v>0</v>
      </c>
      <c r="L79" s="1">
        <f t="shared" si="4"/>
        <v>0.10162544222835999</v>
      </c>
      <c r="M79">
        <f t="shared" si="5"/>
        <v>0.86570755596224602</v>
      </c>
    </row>
    <row r="80" spans="1:13">
      <c r="A80">
        <v>2010</v>
      </c>
      <c r="B80">
        <v>6</v>
      </c>
      <c r="C80">
        <v>17</v>
      </c>
      <c r="D80">
        <v>10</v>
      </c>
      <c r="E80">
        <v>123.56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1">
        <f t="shared" si="4"/>
        <v>0</v>
      </c>
      <c r="M80">
        <f t="shared" si="5"/>
        <v>0.83751037906901904</v>
      </c>
    </row>
    <row r="81" spans="1:13">
      <c r="A81">
        <v>2010</v>
      </c>
      <c r="B81">
        <v>6</v>
      </c>
      <c r="C81">
        <v>17</v>
      </c>
      <c r="D81">
        <v>11</v>
      </c>
      <c r="E81">
        <v>120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1">
        <f t="shared" si="4"/>
        <v>0</v>
      </c>
      <c r="M81">
        <f t="shared" si="5"/>
        <v>0.81338010268923799</v>
      </c>
    </row>
    <row r="82" spans="1:13">
      <c r="A82">
        <v>2010</v>
      </c>
      <c r="B82">
        <v>6</v>
      </c>
      <c r="C82">
        <v>17</v>
      </c>
      <c r="D82">
        <v>12</v>
      </c>
      <c r="E82">
        <v>117.82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1">
        <f t="shared" si="4"/>
        <v>0</v>
      </c>
      <c r="M82">
        <f t="shared" si="5"/>
        <v>0.79860369749038396</v>
      </c>
    </row>
    <row r="83" spans="1:13">
      <c r="A83">
        <v>2010</v>
      </c>
      <c r="B83">
        <v>6</v>
      </c>
      <c r="C83">
        <v>17</v>
      </c>
      <c r="D83">
        <v>13</v>
      </c>
      <c r="E83">
        <v>119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1">
        <f t="shared" si="4"/>
        <v>0</v>
      </c>
      <c r="M83">
        <f t="shared" si="5"/>
        <v>0.80660193516682799</v>
      </c>
    </row>
    <row r="84" spans="1:13">
      <c r="A84">
        <v>2010</v>
      </c>
      <c r="B84">
        <v>6</v>
      </c>
      <c r="C84">
        <v>17</v>
      </c>
      <c r="D84">
        <v>14</v>
      </c>
      <c r="E84">
        <v>123.42</v>
      </c>
      <c r="F84">
        <v>0</v>
      </c>
      <c r="G84">
        <v>0</v>
      </c>
      <c r="H84">
        <v>0</v>
      </c>
      <c r="I84">
        <v>0</v>
      </c>
      <c r="J84">
        <v>0</v>
      </c>
      <c r="K84">
        <v>0.5</v>
      </c>
      <c r="L84" s="1">
        <f t="shared" si="4"/>
        <v>6.8119642188068E-2</v>
      </c>
      <c r="M84">
        <f t="shared" si="5"/>
        <v>0.83656143561588103</v>
      </c>
    </row>
    <row r="85" spans="1:13">
      <c r="A85">
        <v>2010</v>
      </c>
      <c r="B85">
        <v>6</v>
      </c>
      <c r="C85">
        <v>17</v>
      </c>
      <c r="D85">
        <v>15</v>
      </c>
      <c r="E85">
        <v>122.82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1">
        <f t="shared" si="4"/>
        <v>0</v>
      </c>
      <c r="M85">
        <f t="shared" si="5"/>
        <v>0.83249453510243498</v>
      </c>
    </row>
    <row r="86" spans="1:13">
      <c r="A86">
        <v>2010</v>
      </c>
      <c r="B86">
        <v>6</v>
      </c>
      <c r="C86">
        <v>17</v>
      </c>
      <c r="D86">
        <v>16</v>
      </c>
      <c r="E86">
        <v>118.3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1">
        <f t="shared" si="4"/>
        <v>0</v>
      </c>
      <c r="M86">
        <f t="shared" si="5"/>
        <v>0.80185721790113995</v>
      </c>
    </row>
    <row r="87" spans="1:13">
      <c r="A87">
        <v>2010</v>
      </c>
      <c r="B87">
        <v>6</v>
      </c>
      <c r="C87">
        <v>17</v>
      </c>
      <c r="D87">
        <v>17</v>
      </c>
      <c r="E87">
        <v>117</v>
      </c>
      <c r="F87">
        <v>0</v>
      </c>
      <c r="G87">
        <v>0</v>
      </c>
      <c r="H87">
        <v>0</v>
      </c>
      <c r="I87">
        <v>0</v>
      </c>
      <c r="J87">
        <v>0</v>
      </c>
      <c r="K87">
        <v>0.5</v>
      </c>
      <c r="L87" s="1">
        <f t="shared" si="4"/>
        <v>6.8119642188068E-2</v>
      </c>
      <c r="M87">
        <f t="shared" si="5"/>
        <v>0.79304560012200698</v>
      </c>
    </row>
    <row r="88" spans="1:13">
      <c r="A88">
        <v>2010</v>
      </c>
      <c r="B88">
        <v>6</v>
      </c>
      <c r="C88">
        <v>17</v>
      </c>
      <c r="D88">
        <v>18</v>
      </c>
      <c r="E88">
        <v>123.57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1">
        <f t="shared" si="4"/>
        <v>0</v>
      </c>
      <c r="M88">
        <f t="shared" si="5"/>
        <v>0.83757816074424296</v>
      </c>
    </row>
    <row r="89" spans="1:13">
      <c r="A89">
        <v>2010</v>
      </c>
      <c r="B89">
        <v>6</v>
      </c>
      <c r="C89">
        <v>17</v>
      </c>
      <c r="D89">
        <v>19</v>
      </c>
      <c r="E89">
        <v>132.46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">
        <f t="shared" si="4"/>
        <v>0</v>
      </c>
      <c r="M89">
        <f t="shared" si="5"/>
        <v>0.89783607001847099</v>
      </c>
    </row>
    <row r="90" spans="1:13">
      <c r="A90">
        <v>2010</v>
      </c>
      <c r="B90">
        <v>6</v>
      </c>
      <c r="C90">
        <v>17</v>
      </c>
      <c r="D90">
        <v>20</v>
      </c>
      <c r="E90">
        <v>135.62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f t="shared" si="4"/>
        <v>0</v>
      </c>
      <c r="M90">
        <f t="shared" si="5"/>
        <v>0.91925507938928697</v>
      </c>
    </row>
    <row r="91" spans="1:13">
      <c r="A91">
        <v>2010</v>
      </c>
      <c r="B91">
        <v>6</v>
      </c>
      <c r="C91">
        <v>17</v>
      </c>
      <c r="D91">
        <v>21</v>
      </c>
      <c r="E91">
        <v>124.95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f t="shared" si="4"/>
        <v>0</v>
      </c>
      <c r="M91">
        <f t="shared" si="5"/>
        <v>0.84693203192516897</v>
      </c>
    </row>
    <row r="92" spans="1:13">
      <c r="A92">
        <v>2010</v>
      </c>
      <c r="B92">
        <v>6</v>
      </c>
      <c r="C92">
        <v>17</v>
      </c>
      <c r="D92">
        <v>22</v>
      </c>
      <c r="E92">
        <v>92.37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f t="shared" si="4"/>
        <v>0</v>
      </c>
      <c r="M92">
        <f t="shared" si="5"/>
        <v>0.62609933404504103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M61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2011</v>
      </c>
      <c r="B4">
        <v>5</v>
      </c>
      <c r="C4">
        <v>12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">
        <f>F4*$F$2+G4*$G$2+H4*$H$2+I4*$I$2+J4*$J$2+K4*$K$2</f>
        <v>0</v>
      </c>
      <c r="M4">
        <f>E4*3600/(1000*$L$1)</f>
        <v>2.0334502567230999E-2</v>
      </c>
    </row>
    <row r="5" spans="1:13">
      <c r="A5">
        <v>2011</v>
      </c>
      <c r="B5">
        <v>5</v>
      </c>
      <c r="C5">
        <v>12</v>
      </c>
      <c r="D5">
        <v>4</v>
      </c>
      <c r="E5">
        <v>3.41</v>
      </c>
      <c r="F5">
        <v>0.33</v>
      </c>
      <c r="G5">
        <v>0</v>
      </c>
      <c r="H5">
        <v>0</v>
      </c>
      <c r="I5">
        <v>0</v>
      </c>
      <c r="J5">
        <v>0</v>
      </c>
      <c r="K5">
        <v>0</v>
      </c>
      <c r="L5" s="1">
        <f t="shared" ref="L5:L36" si="0">F5*$F$2+G5*$G$2+H5*$H$2+I5*$I$2+J5*$J$2+K5*$K$2</f>
        <v>7.5261947932376394E-2</v>
      </c>
      <c r="M5">
        <f t="shared" ref="M5:M36" si="1">E5*3600/(1000*$L$1)</f>
        <v>2.3113551251419201E-2</v>
      </c>
    </row>
    <row r="6" spans="1:13">
      <c r="A6">
        <v>2011</v>
      </c>
      <c r="B6">
        <v>5</v>
      </c>
      <c r="C6">
        <v>12</v>
      </c>
      <c r="D6">
        <v>5</v>
      </c>
      <c r="E6">
        <v>6.47</v>
      </c>
      <c r="F6">
        <v>0.67</v>
      </c>
      <c r="G6">
        <v>0</v>
      </c>
      <c r="H6">
        <v>0</v>
      </c>
      <c r="I6">
        <v>0</v>
      </c>
      <c r="J6">
        <v>0</v>
      </c>
      <c r="K6">
        <v>0</v>
      </c>
      <c r="L6" s="1">
        <f t="shared" si="0"/>
        <v>0.152804560953613</v>
      </c>
      <c r="M6">
        <f t="shared" si="1"/>
        <v>4.3854743869994703E-2</v>
      </c>
    </row>
    <row r="7" spans="1:13">
      <c r="A7">
        <v>2011</v>
      </c>
      <c r="B7">
        <v>5</v>
      </c>
      <c r="C7">
        <v>12</v>
      </c>
      <c r="D7">
        <v>6</v>
      </c>
      <c r="E7">
        <v>6.93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">
        <f t="shared" si="0"/>
        <v>0</v>
      </c>
      <c r="M7">
        <f t="shared" si="1"/>
        <v>4.69727009303035E-2</v>
      </c>
    </row>
    <row r="8" spans="1:13">
      <c r="A8">
        <v>2011</v>
      </c>
      <c r="B8">
        <v>5</v>
      </c>
      <c r="C8">
        <v>12</v>
      </c>
      <c r="D8">
        <v>7</v>
      </c>
      <c r="E8">
        <v>5</v>
      </c>
      <c r="F8">
        <v>0.33</v>
      </c>
      <c r="G8">
        <v>0</v>
      </c>
      <c r="H8">
        <v>0</v>
      </c>
      <c r="I8">
        <v>0</v>
      </c>
      <c r="J8">
        <v>0</v>
      </c>
      <c r="K8">
        <v>0</v>
      </c>
      <c r="L8" s="1">
        <f t="shared" si="0"/>
        <v>7.5261947932376394E-2</v>
      </c>
      <c r="M8">
        <f t="shared" si="1"/>
        <v>3.3890837612051597E-2</v>
      </c>
    </row>
    <row r="9" spans="1:13">
      <c r="A9">
        <v>2011</v>
      </c>
      <c r="B9">
        <v>5</v>
      </c>
      <c r="C9">
        <v>12</v>
      </c>
      <c r="D9">
        <v>8</v>
      </c>
      <c r="E9">
        <v>20.8</v>
      </c>
      <c r="F9">
        <v>0.67</v>
      </c>
      <c r="G9">
        <v>0</v>
      </c>
      <c r="H9">
        <v>0</v>
      </c>
      <c r="I9">
        <v>0</v>
      </c>
      <c r="J9">
        <v>0</v>
      </c>
      <c r="K9">
        <v>0</v>
      </c>
      <c r="L9" s="1">
        <f t="shared" si="0"/>
        <v>0.152804560953613</v>
      </c>
      <c r="M9">
        <f t="shared" si="1"/>
        <v>0.140985884466135</v>
      </c>
    </row>
    <row r="10" spans="1:13">
      <c r="A10">
        <v>2011</v>
      </c>
      <c r="B10">
        <v>5</v>
      </c>
      <c r="C10">
        <v>12</v>
      </c>
      <c r="D10">
        <v>9</v>
      </c>
      <c r="E10">
        <v>22.43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">
        <f t="shared" si="0"/>
        <v>0</v>
      </c>
      <c r="M10">
        <f t="shared" si="1"/>
        <v>0.15203429752766301</v>
      </c>
    </row>
    <row r="11" spans="1:13">
      <c r="A11">
        <v>2011</v>
      </c>
      <c r="B11">
        <v>5</v>
      </c>
      <c r="C11">
        <v>12</v>
      </c>
      <c r="D11">
        <v>10</v>
      </c>
      <c r="E11">
        <v>15.84</v>
      </c>
      <c r="F11">
        <v>0.5</v>
      </c>
      <c r="G11">
        <v>0</v>
      </c>
      <c r="H11">
        <v>0</v>
      </c>
      <c r="I11">
        <v>0</v>
      </c>
      <c r="J11">
        <v>0</v>
      </c>
      <c r="K11">
        <v>0</v>
      </c>
      <c r="L11" s="1">
        <f t="shared" si="0"/>
        <v>0.114033254442995</v>
      </c>
      <c r="M11">
        <f t="shared" si="1"/>
        <v>0.107366173554979</v>
      </c>
    </row>
    <row r="12" spans="1:13">
      <c r="A12">
        <v>2011</v>
      </c>
      <c r="B12">
        <v>5</v>
      </c>
      <c r="C12">
        <v>12</v>
      </c>
      <c r="D12">
        <v>11</v>
      </c>
      <c r="E12">
        <v>11.78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1">
        <f t="shared" si="0"/>
        <v>0</v>
      </c>
      <c r="M12">
        <f t="shared" si="1"/>
        <v>7.9846813413993495E-2</v>
      </c>
    </row>
    <row r="13" spans="1:13">
      <c r="A13">
        <v>2011</v>
      </c>
      <c r="B13">
        <v>5</v>
      </c>
      <c r="C13">
        <v>12</v>
      </c>
      <c r="D13">
        <v>12</v>
      </c>
      <c r="E13">
        <v>12.98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">
        <f t="shared" si="0"/>
        <v>0</v>
      </c>
      <c r="M13">
        <f t="shared" si="1"/>
        <v>8.7980614440885896E-2</v>
      </c>
    </row>
    <row r="14" spans="1:13">
      <c r="A14">
        <v>2011</v>
      </c>
      <c r="B14">
        <v>5</v>
      </c>
      <c r="C14">
        <v>12</v>
      </c>
      <c r="D14">
        <v>13</v>
      </c>
      <c r="E14">
        <v>16.690000000000001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">
        <f t="shared" si="0"/>
        <v>0</v>
      </c>
      <c r="M14">
        <f t="shared" si="1"/>
        <v>0.113127615949028</v>
      </c>
    </row>
    <row r="15" spans="1:13">
      <c r="A15">
        <v>2011</v>
      </c>
      <c r="B15">
        <v>5</v>
      </c>
      <c r="C15">
        <v>12</v>
      </c>
      <c r="D15">
        <v>14</v>
      </c>
      <c r="E15">
        <v>20.11</v>
      </c>
      <c r="F15">
        <v>0.33</v>
      </c>
      <c r="G15">
        <v>0</v>
      </c>
      <c r="H15">
        <v>0</v>
      </c>
      <c r="I15">
        <v>0</v>
      </c>
      <c r="J15">
        <v>0</v>
      </c>
      <c r="K15">
        <v>0</v>
      </c>
      <c r="L15" s="1">
        <f t="shared" si="0"/>
        <v>7.5261947932376394E-2</v>
      </c>
      <c r="M15">
        <f t="shared" si="1"/>
        <v>0.13630894887567099</v>
      </c>
    </row>
    <row r="16" spans="1:13">
      <c r="A16">
        <v>2011</v>
      </c>
      <c r="B16">
        <v>5</v>
      </c>
      <c r="C16">
        <v>12</v>
      </c>
      <c r="D16">
        <v>15</v>
      </c>
      <c r="E16">
        <v>20.75</v>
      </c>
      <c r="F16">
        <v>0.67</v>
      </c>
      <c r="G16">
        <v>0</v>
      </c>
      <c r="H16">
        <v>0</v>
      </c>
      <c r="I16">
        <v>0</v>
      </c>
      <c r="J16">
        <v>0</v>
      </c>
      <c r="K16">
        <v>0.5</v>
      </c>
      <c r="L16" s="1">
        <f t="shared" si="0"/>
        <v>0.22092420314168101</v>
      </c>
      <c r="M16">
        <f t="shared" si="1"/>
        <v>0.140646976090014</v>
      </c>
    </row>
    <row r="17" spans="1:13">
      <c r="A17">
        <v>2011</v>
      </c>
      <c r="B17">
        <v>5</v>
      </c>
      <c r="C17">
        <v>12</v>
      </c>
      <c r="D17">
        <v>16</v>
      </c>
      <c r="E17">
        <v>21.92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 s="1">
        <f t="shared" si="0"/>
        <v>0.36430579326212498</v>
      </c>
      <c r="M17">
        <f t="shared" si="1"/>
        <v>0.148577432091234</v>
      </c>
    </row>
    <row r="18" spans="1:13">
      <c r="A18">
        <v>2011</v>
      </c>
      <c r="B18">
        <v>5</v>
      </c>
      <c r="C18">
        <v>12</v>
      </c>
      <c r="D18">
        <v>17</v>
      </c>
      <c r="E18">
        <v>25.34</v>
      </c>
      <c r="F18">
        <v>4</v>
      </c>
      <c r="G18">
        <v>0.33</v>
      </c>
      <c r="H18">
        <v>0</v>
      </c>
      <c r="I18">
        <v>0.5</v>
      </c>
      <c r="J18">
        <v>0</v>
      </c>
      <c r="K18">
        <v>8.5</v>
      </c>
      <c r="L18" s="1">
        <f t="shared" si="0"/>
        <v>2.2353068721204599</v>
      </c>
      <c r="M18">
        <f t="shared" si="1"/>
        <v>0.17175876501787701</v>
      </c>
    </row>
    <row r="19" spans="1:13">
      <c r="A19">
        <v>2011</v>
      </c>
      <c r="B19">
        <v>5</v>
      </c>
      <c r="C19">
        <v>12</v>
      </c>
      <c r="D19">
        <v>18</v>
      </c>
      <c r="E19">
        <v>26.77</v>
      </c>
      <c r="F19">
        <v>17</v>
      </c>
      <c r="G19">
        <v>0.67</v>
      </c>
      <c r="H19">
        <v>6.5</v>
      </c>
      <c r="I19">
        <v>9</v>
      </c>
      <c r="J19">
        <v>0</v>
      </c>
      <c r="K19">
        <v>16.5</v>
      </c>
      <c r="L19" s="1">
        <f t="shared" si="0"/>
        <v>8.5148244548752903</v>
      </c>
      <c r="M19">
        <f t="shared" si="1"/>
        <v>0.18145154457492399</v>
      </c>
    </row>
    <row r="20" spans="1:13">
      <c r="A20">
        <v>2011</v>
      </c>
      <c r="B20">
        <v>5</v>
      </c>
      <c r="C20">
        <v>12</v>
      </c>
      <c r="D20">
        <v>19</v>
      </c>
      <c r="E20">
        <v>23.05</v>
      </c>
      <c r="F20">
        <v>2.5</v>
      </c>
      <c r="G20">
        <v>19</v>
      </c>
      <c r="H20">
        <v>6.5</v>
      </c>
      <c r="I20">
        <v>0.5</v>
      </c>
      <c r="J20">
        <v>13</v>
      </c>
      <c r="K20">
        <v>8.5</v>
      </c>
      <c r="L20" s="1">
        <f t="shared" si="0"/>
        <v>9.1527742474821991</v>
      </c>
      <c r="M20">
        <f t="shared" si="1"/>
        <v>0.15623676139155801</v>
      </c>
    </row>
    <row r="21" spans="1:13">
      <c r="A21">
        <v>2011</v>
      </c>
      <c r="B21">
        <v>5</v>
      </c>
      <c r="C21">
        <v>12</v>
      </c>
      <c r="D21">
        <v>20</v>
      </c>
      <c r="E21">
        <v>22.42</v>
      </c>
      <c r="F21">
        <v>17</v>
      </c>
      <c r="G21">
        <v>53</v>
      </c>
      <c r="H21">
        <v>27</v>
      </c>
      <c r="I21">
        <v>41</v>
      </c>
      <c r="J21">
        <v>46</v>
      </c>
      <c r="K21">
        <v>40.5</v>
      </c>
      <c r="L21" s="1">
        <f t="shared" si="0"/>
        <v>37.145345564160102</v>
      </c>
      <c r="M21">
        <f t="shared" si="1"/>
        <v>0.151966515852439</v>
      </c>
    </row>
    <row r="22" spans="1:13">
      <c r="A22">
        <v>2011</v>
      </c>
      <c r="B22">
        <v>5</v>
      </c>
      <c r="C22">
        <v>12</v>
      </c>
      <c r="D22">
        <v>21</v>
      </c>
      <c r="E22">
        <v>146</v>
      </c>
      <c r="F22">
        <v>4.5</v>
      </c>
      <c r="G22">
        <v>4</v>
      </c>
      <c r="H22">
        <v>4</v>
      </c>
      <c r="I22">
        <v>4</v>
      </c>
      <c r="J22">
        <v>4.5</v>
      </c>
      <c r="K22">
        <v>0</v>
      </c>
      <c r="L22" s="1">
        <f t="shared" si="0"/>
        <v>3.59321863167626</v>
      </c>
      <c r="M22">
        <f t="shared" si="1"/>
        <v>0.98961245827190603</v>
      </c>
    </row>
    <row r="23" spans="1:13">
      <c r="A23">
        <v>2011</v>
      </c>
      <c r="B23">
        <v>5</v>
      </c>
      <c r="C23">
        <v>12</v>
      </c>
      <c r="D23">
        <v>22</v>
      </c>
      <c r="E23">
        <v>90.07</v>
      </c>
      <c r="F23">
        <v>0.66</v>
      </c>
      <c r="G23">
        <v>1</v>
      </c>
      <c r="H23">
        <v>1</v>
      </c>
      <c r="I23">
        <v>1.5</v>
      </c>
      <c r="J23">
        <v>2</v>
      </c>
      <c r="K23">
        <v>1.5</v>
      </c>
      <c r="L23" s="1">
        <f t="shared" si="0"/>
        <v>1.1044521263676399</v>
      </c>
      <c r="M23">
        <f t="shared" si="1"/>
        <v>0.61050954874349705</v>
      </c>
    </row>
    <row r="24" spans="1:13">
      <c r="A24">
        <v>2011</v>
      </c>
      <c r="B24">
        <v>5</v>
      </c>
      <c r="C24">
        <v>12</v>
      </c>
      <c r="D24">
        <v>23</v>
      </c>
      <c r="E24">
        <v>103.23</v>
      </c>
      <c r="F24">
        <v>0.68</v>
      </c>
      <c r="G24">
        <v>0</v>
      </c>
      <c r="H24">
        <v>0</v>
      </c>
      <c r="I24">
        <v>0</v>
      </c>
      <c r="J24">
        <v>0</v>
      </c>
      <c r="K24">
        <v>0</v>
      </c>
      <c r="L24" s="1">
        <f t="shared" si="0"/>
        <v>0.15508522604247299</v>
      </c>
      <c r="M24">
        <f t="shared" si="1"/>
        <v>0.69971023333841698</v>
      </c>
    </row>
    <row r="25" spans="1:13">
      <c r="A25">
        <v>2011</v>
      </c>
      <c r="B25">
        <v>5</v>
      </c>
      <c r="C25">
        <v>13</v>
      </c>
      <c r="D25">
        <v>0</v>
      </c>
      <c r="E25">
        <v>89.5</v>
      </c>
      <c r="F25">
        <v>0.71</v>
      </c>
      <c r="G25">
        <v>0</v>
      </c>
      <c r="H25">
        <v>0</v>
      </c>
      <c r="I25">
        <v>0</v>
      </c>
      <c r="J25">
        <v>0</v>
      </c>
      <c r="K25">
        <v>0</v>
      </c>
      <c r="L25" s="1">
        <f t="shared" si="0"/>
        <v>0.16192722130905199</v>
      </c>
      <c r="M25">
        <f t="shared" si="1"/>
        <v>0.60664599325572299</v>
      </c>
    </row>
    <row r="26" spans="1:13">
      <c r="A26">
        <v>2011</v>
      </c>
      <c r="B26">
        <v>5</v>
      </c>
      <c r="C26">
        <v>13</v>
      </c>
      <c r="D26">
        <v>1</v>
      </c>
      <c r="E26">
        <v>201</v>
      </c>
      <c r="F26">
        <v>0.74</v>
      </c>
      <c r="G26">
        <v>11.5</v>
      </c>
      <c r="H26">
        <v>4</v>
      </c>
      <c r="I26">
        <v>6.5</v>
      </c>
      <c r="J26">
        <v>0</v>
      </c>
      <c r="K26">
        <v>0</v>
      </c>
      <c r="L26" s="1">
        <f t="shared" si="0"/>
        <v>5.1058301654814304</v>
      </c>
      <c r="M26">
        <f t="shared" si="1"/>
        <v>1.3624116720044701</v>
      </c>
    </row>
    <row r="27" spans="1:13">
      <c r="A27">
        <v>2011</v>
      </c>
      <c r="B27">
        <v>5</v>
      </c>
      <c r="C27">
        <v>13</v>
      </c>
      <c r="D27">
        <v>2</v>
      </c>
      <c r="E27">
        <v>212</v>
      </c>
      <c r="F27">
        <v>0.76</v>
      </c>
      <c r="G27">
        <v>11</v>
      </c>
      <c r="H27">
        <v>6.5</v>
      </c>
      <c r="I27">
        <v>4.5</v>
      </c>
      <c r="J27">
        <v>12</v>
      </c>
      <c r="K27">
        <v>0.33</v>
      </c>
      <c r="L27" s="1">
        <f t="shared" si="0"/>
        <v>5.7091935863472703</v>
      </c>
      <c r="M27">
        <f t="shared" si="1"/>
        <v>1.4369715147509901</v>
      </c>
    </row>
    <row r="28" spans="1:13">
      <c r="A28">
        <v>2011</v>
      </c>
      <c r="B28">
        <v>5</v>
      </c>
      <c r="C28">
        <v>13</v>
      </c>
      <c r="D28">
        <v>3</v>
      </c>
      <c r="E28">
        <v>144.29</v>
      </c>
      <c r="F28">
        <v>0.79</v>
      </c>
      <c r="G28">
        <v>0</v>
      </c>
      <c r="H28">
        <v>5</v>
      </c>
      <c r="I28">
        <v>0.5</v>
      </c>
      <c r="J28">
        <v>4</v>
      </c>
      <c r="K28">
        <v>0.67</v>
      </c>
      <c r="L28" s="1">
        <f t="shared" si="0"/>
        <v>1.3050123230851201</v>
      </c>
      <c r="M28">
        <f t="shared" si="1"/>
        <v>0.97802179180858495</v>
      </c>
    </row>
    <row r="29" spans="1:13">
      <c r="A29">
        <v>2011</v>
      </c>
      <c r="B29">
        <v>5</v>
      </c>
      <c r="C29">
        <v>13</v>
      </c>
      <c r="D29">
        <v>4</v>
      </c>
      <c r="E29">
        <v>31.21</v>
      </c>
      <c r="F29">
        <v>0.82</v>
      </c>
      <c r="G29">
        <v>1</v>
      </c>
      <c r="H29">
        <v>0</v>
      </c>
      <c r="I29">
        <v>0</v>
      </c>
      <c r="J29">
        <v>0</v>
      </c>
      <c r="K29">
        <v>0</v>
      </c>
      <c r="L29" s="1">
        <f t="shared" si="0"/>
        <v>0.48827772411728498</v>
      </c>
      <c r="M29">
        <f t="shared" si="1"/>
        <v>0.21154660837442599</v>
      </c>
    </row>
    <row r="30" spans="1:13">
      <c r="A30">
        <v>2011</v>
      </c>
      <c r="B30">
        <v>5</v>
      </c>
      <c r="C30">
        <v>13</v>
      </c>
      <c r="D30">
        <v>5</v>
      </c>
      <c r="E30">
        <v>175</v>
      </c>
      <c r="F30">
        <v>0.84</v>
      </c>
      <c r="G30">
        <v>3.5</v>
      </c>
      <c r="H30">
        <v>0.5</v>
      </c>
      <c r="I30">
        <v>1</v>
      </c>
      <c r="J30">
        <v>0</v>
      </c>
      <c r="K30">
        <v>0</v>
      </c>
      <c r="L30" s="1">
        <f t="shared" si="0"/>
        <v>1.4546600843128701</v>
      </c>
      <c r="M30">
        <f t="shared" si="1"/>
        <v>1.18617931642181</v>
      </c>
    </row>
    <row r="31" spans="1:13">
      <c r="A31">
        <v>2011</v>
      </c>
      <c r="B31">
        <v>5</v>
      </c>
      <c r="C31">
        <v>13</v>
      </c>
      <c r="D31">
        <v>6</v>
      </c>
      <c r="E31">
        <v>105</v>
      </c>
      <c r="F31">
        <v>0</v>
      </c>
      <c r="G31">
        <v>0.5</v>
      </c>
      <c r="H31">
        <v>1</v>
      </c>
      <c r="I31">
        <v>3</v>
      </c>
      <c r="J31">
        <v>7.5</v>
      </c>
      <c r="K31">
        <v>0</v>
      </c>
      <c r="L31" s="1">
        <f t="shared" si="0"/>
        <v>1.0612755758147501</v>
      </c>
      <c r="M31">
        <f t="shared" si="1"/>
        <v>0.71170758985308302</v>
      </c>
    </row>
    <row r="32" spans="1:13">
      <c r="A32">
        <v>2011</v>
      </c>
      <c r="B32">
        <v>5</v>
      </c>
      <c r="C32">
        <v>13</v>
      </c>
      <c r="D32">
        <v>7</v>
      </c>
      <c r="E32">
        <v>93.74</v>
      </c>
      <c r="F32">
        <v>0.33</v>
      </c>
      <c r="G32">
        <v>0</v>
      </c>
      <c r="H32">
        <v>1.5</v>
      </c>
      <c r="I32">
        <v>0.5</v>
      </c>
      <c r="J32">
        <v>0</v>
      </c>
      <c r="K32">
        <v>0</v>
      </c>
      <c r="L32" s="1">
        <f t="shared" si="0"/>
        <v>0.37330079812922601</v>
      </c>
      <c r="M32">
        <f t="shared" si="1"/>
        <v>0.63538542355074301</v>
      </c>
    </row>
    <row r="33" spans="1:13">
      <c r="A33">
        <v>2011</v>
      </c>
      <c r="B33">
        <v>5</v>
      </c>
      <c r="C33">
        <v>13</v>
      </c>
      <c r="D33">
        <v>8</v>
      </c>
      <c r="E33">
        <v>113</v>
      </c>
      <c r="F33">
        <v>0.67</v>
      </c>
      <c r="G33">
        <v>0.5</v>
      </c>
      <c r="H33">
        <v>0</v>
      </c>
      <c r="I33">
        <v>0</v>
      </c>
      <c r="J33">
        <v>0</v>
      </c>
      <c r="K33">
        <v>0</v>
      </c>
      <c r="L33" s="1">
        <f t="shared" si="0"/>
        <v>0.30343615436900001</v>
      </c>
      <c r="M33">
        <f t="shared" si="1"/>
        <v>0.76593293003236596</v>
      </c>
    </row>
    <row r="34" spans="1:13">
      <c r="A34">
        <v>2011</v>
      </c>
      <c r="B34">
        <v>5</v>
      </c>
      <c r="C34">
        <v>13</v>
      </c>
      <c r="D34">
        <v>9</v>
      </c>
      <c r="E34">
        <v>115.02</v>
      </c>
      <c r="F34">
        <v>0</v>
      </c>
      <c r="G34">
        <v>0</v>
      </c>
      <c r="H34">
        <v>0</v>
      </c>
      <c r="I34">
        <v>1</v>
      </c>
      <c r="J34">
        <v>0.33</v>
      </c>
      <c r="K34">
        <v>0.33</v>
      </c>
      <c r="L34" s="1">
        <f t="shared" si="0"/>
        <v>0.19207315902145899</v>
      </c>
      <c r="M34">
        <f t="shared" si="1"/>
        <v>0.77962482842763503</v>
      </c>
    </row>
    <row r="35" spans="1:13">
      <c r="A35">
        <v>2011</v>
      </c>
      <c r="B35">
        <v>5</v>
      </c>
      <c r="C35">
        <v>13</v>
      </c>
      <c r="D35">
        <v>10</v>
      </c>
      <c r="E35">
        <v>99</v>
      </c>
      <c r="F35">
        <v>0</v>
      </c>
      <c r="G35">
        <v>0.5</v>
      </c>
      <c r="H35">
        <v>0</v>
      </c>
      <c r="I35">
        <v>0</v>
      </c>
      <c r="J35">
        <v>0.67</v>
      </c>
      <c r="K35">
        <v>0.67</v>
      </c>
      <c r="L35" s="1">
        <f t="shared" si="0"/>
        <v>0.27426288369606</v>
      </c>
      <c r="M35">
        <f t="shared" si="1"/>
        <v>0.67103858471862099</v>
      </c>
    </row>
    <row r="36" spans="1:13">
      <c r="A36">
        <v>2011</v>
      </c>
      <c r="B36">
        <v>5</v>
      </c>
      <c r="C36">
        <v>13</v>
      </c>
      <c r="D36">
        <v>11</v>
      </c>
      <c r="E36">
        <v>84.7</v>
      </c>
      <c r="F36">
        <v>6</v>
      </c>
      <c r="G36">
        <v>3</v>
      </c>
      <c r="H36">
        <v>0.5</v>
      </c>
      <c r="I36">
        <v>3</v>
      </c>
      <c r="J36">
        <v>1</v>
      </c>
      <c r="K36">
        <v>4.5</v>
      </c>
      <c r="L36" s="1">
        <f t="shared" si="0"/>
        <v>3.4045737568181802</v>
      </c>
      <c r="M36">
        <f t="shared" si="1"/>
        <v>0.57411078914815405</v>
      </c>
    </row>
    <row r="37" spans="1:13">
      <c r="A37">
        <v>2011</v>
      </c>
      <c r="B37">
        <v>5</v>
      </c>
      <c r="C37">
        <v>13</v>
      </c>
      <c r="D37">
        <v>12</v>
      </c>
      <c r="E37">
        <v>80</v>
      </c>
      <c r="F37">
        <v>0.71</v>
      </c>
      <c r="G37">
        <v>0.5</v>
      </c>
      <c r="H37">
        <v>3</v>
      </c>
      <c r="I37">
        <v>2</v>
      </c>
      <c r="J37">
        <v>4</v>
      </c>
      <c r="K37">
        <v>7</v>
      </c>
      <c r="L37" s="1">
        <f t="shared" ref="L37:L61" si="2">F37*$F$2+G37*$G$2+H37*$H$2+I37*$I$2+J37*$J$2+K37*$K$2</f>
        <v>2.1866317591039302</v>
      </c>
      <c r="M37">
        <f t="shared" ref="M37:M61" si="3">E37*3600/(1000*$L$1)</f>
        <v>0.542253401792825</v>
      </c>
    </row>
    <row r="38" spans="1:13">
      <c r="A38">
        <v>2011</v>
      </c>
      <c r="B38">
        <v>5</v>
      </c>
      <c r="C38">
        <v>13</v>
      </c>
      <c r="D38">
        <v>13</v>
      </c>
      <c r="E38">
        <v>64.819999999999993</v>
      </c>
      <c r="F38">
        <v>0.56999999999999995</v>
      </c>
      <c r="G38">
        <v>0</v>
      </c>
      <c r="H38">
        <v>0.5</v>
      </c>
      <c r="I38">
        <v>0</v>
      </c>
      <c r="J38">
        <v>0</v>
      </c>
      <c r="K38">
        <v>0</v>
      </c>
      <c r="L38" s="1">
        <f t="shared" si="2"/>
        <v>0.20748083755556701</v>
      </c>
      <c r="M38">
        <f t="shared" si="3"/>
        <v>0.439360818802637</v>
      </c>
    </row>
    <row r="39" spans="1:13">
      <c r="A39">
        <v>2011</v>
      </c>
      <c r="B39">
        <v>5</v>
      </c>
      <c r="C39">
        <v>13</v>
      </c>
      <c r="D39">
        <v>14</v>
      </c>
      <c r="E39">
        <v>84.7</v>
      </c>
      <c r="F39">
        <v>0.43</v>
      </c>
      <c r="G39">
        <v>0</v>
      </c>
      <c r="H39">
        <v>0</v>
      </c>
      <c r="I39">
        <v>0</v>
      </c>
      <c r="J39">
        <v>0.5</v>
      </c>
      <c r="K39">
        <v>0.5</v>
      </c>
      <c r="L39" s="1">
        <f t="shared" si="2"/>
        <v>0.19033075574685099</v>
      </c>
      <c r="M39">
        <f t="shared" si="3"/>
        <v>0.57411078914815405</v>
      </c>
    </row>
    <row r="40" spans="1:13">
      <c r="A40">
        <v>2011</v>
      </c>
      <c r="B40">
        <v>5</v>
      </c>
      <c r="C40">
        <v>13</v>
      </c>
      <c r="D40">
        <v>15</v>
      </c>
      <c r="E40">
        <v>89.79</v>
      </c>
      <c r="F40">
        <v>0.28999999999999998</v>
      </c>
      <c r="G40">
        <v>0</v>
      </c>
      <c r="H40">
        <v>0</v>
      </c>
      <c r="I40">
        <v>0</v>
      </c>
      <c r="J40">
        <v>0</v>
      </c>
      <c r="K40">
        <v>0</v>
      </c>
      <c r="L40" s="1">
        <f t="shared" si="2"/>
        <v>6.6139287576936795E-2</v>
      </c>
      <c r="M40">
        <f t="shared" si="3"/>
        <v>0.60861166183722204</v>
      </c>
    </row>
    <row r="41" spans="1:13">
      <c r="A41">
        <v>2011</v>
      </c>
      <c r="B41">
        <v>5</v>
      </c>
      <c r="C41">
        <v>13</v>
      </c>
      <c r="D41">
        <v>16</v>
      </c>
      <c r="E41">
        <v>80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1">
        <f t="shared" si="2"/>
        <v>0</v>
      </c>
      <c r="M41">
        <f t="shared" si="3"/>
        <v>0.542253401792825</v>
      </c>
    </row>
    <row r="42" spans="1:13">
      <c r="A42">
        <v>2011</v>
      </c>
      <c r="B42">
        <v>5</v>
      </c>
      <c r="C42">
        <v>13</v>
      </c>
      <c r="D42">
        <v>17</v>
      </c>
      <c r="E42">
        <v>63.5</v>
      </c>
      <c r="F42">
        <v>0.5</v>
      </c>
      <c r="G42">
        <v>5</v>
      </c>
      <c r="H42">
        <v>0</v>
      </c>
      <c r="I42">
        <v>1</v>
      </c>
      <c r="J42">
        <v>0</v>
      </c>
      <c r="K42">
        <v>0</v>
      </c>
      <c r="L42" s="1">
        <f t="shared" si="2"/>
        <v>1.75152932404725</v>
      </c>
      <c r="M42">
        <f t="shared" si="3"/>
        <v>0.43041363767305502</v>
      </c>
    </row>
    <row r="43" spans="1:13">
      <c r="A43">
        <v>2011</v>
      </c>
      <c r="B43">
        <v>5</v>
      </c>
      <c r="C43">
        <v>13</v>
      </c>
      <c r="D43">
        <v>18</v>
      </c>
      <c r="E43">
        <v>41.5</v>
      </c>
      <c r="F43">
        <v>0</v>
      </c>
      <c r="G43">
        <v>0.5</v>
      </c>
      <c r="H43">
        <v>0.5</v>
      </c>
      <c r="I43">
        <v>3.5</v>
      </c>
      <c r="J43">
        <v>6.5</v>
      </c>
      <c r="K43">
        <v>0.67</v>
      </c>
      <c r="L43" s="1">
        <f t="shared" si="2"/>
        <v>1.09237800710578</v>
      </c>
      <c r="M43">
        <f t="shared" si="3"/>
        <v>0.28129395218002801</v>
      </c>
    </row>
    <row r="44" spans="1:13">
      <c r="A44">
        <v>2011</v>
      </c>
      <c r="B44">
        <v>5</v>
      </c>
      <c r="C44">
        <v>13</v>
      </c>
      <c r="D44">
        <v>19</v>
      </c>
      <c r="E44">
        <v>60.64</v>
      </c>
      <c r="F44">
        <v>0.5</v>
      </c>
      <c r="G44">
        <v>0</v>
      </c>
      <c r="H44">
        <v>0</v>
      </c>
      <c r="I44">
        <v>0</v>
      </c>
      <c r="J44">
        <v>0</v>
      </c>
      <c r="K44">
        <v>1.33</v>
      </c>
      <c r="L44" s="1">
        <f t="shared" si="2"/>
        <v>0.29523150266325499</v>
      </c>
      <c r="M44">
        <f t="shared" si="3"/>
        <v>0.41102807855896201</v>
      </c>
    </row>
    <row r="45" spans="1:13">
      <c r="A45">
        <v>2011</v>
      </c>
      <c r="B45">
        <v>5</v>
      </c>
      <c r="C45">
        <v>13</v>
      </c>
      <c r="D45">
        <v>20</v>
      </c>
      <c r="E45">
        <v>84.12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1">
        <f t="shared" si="2"/>
        <v>0</v>
      </c>
      <c r="M45">
        <f t="shared" si="3"/>
        <v>0.57017945198515596</v>
      </c>
    </row>
    <row r="46" spans="1:13">
      <c r="A46">
        <v>2011</v>
      </c>
      <c r="B46">
        <v>5</v>
      </c>
      <c r="C46">
        <v>13</v>
      </c>
      <c r="D46">
        <v>21</v>
      </c>
      <c r="E46">
        <v>55.2</v>
      </c>
      <c r="F46">
        <v>0.5</v>
      </c>
      <c r="G46">
        <v>0</v>
      </c>
      <c r="H46">
        <v>0</v>
      </c>
      <c r="I46">
        <v>0</v>
      </c>
      <c r="J46">
        <v>0</v>
      </c>
      <c r="K46">
        <v>0</v>
      </c>
      <c r="L46" s="1">
        <f t="shared" si="2"/>
        <v>0.114033254442995</v>
      </c>
      <c r="M46">
        <f t="shared" si="3"/>
        <v>0.374154847237049</v>
      </c>
    </row>
    <row r="47" spans="1:13">
      <c r="A47">
        <v>2011</v>
      </c>
      <c r="B47">
        <v>5</v>
      </c>
      <c r="C47">
        <v>13</v>
      </c>
      <c r="D47">
        <v>22</v>
      </c>
      <c r="E47">
        <v>42.55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1">
        <f t="shared" si="2"/>
        <v>0</v>
      </c>
      <c r="M47">
        <f t="shared" si="3"/>
        <v>0.28841102807855901</v>
      </c>
    </row>
    <row r="48" spans="1:13">
      <c r="A48">
        <v>2011</v>
      </c>
      <c r="B48">
        <v>5</v>
      </c>
      <c r="C48">
        <v>13</v>
      </c>
      <c r="D48">
        <v>23</v>
      </c>
      <c r="E48">
        <v>46.45</v>
      </c>
      <c r="F48">
        <v>0.5</v>
      </c>
      <c r="G48">
        <v>0</v>
      </c>
      <c r="H48">
        <v>0</v>
      </c>
      <c r="I48">
        <v>0</v>
      </c>
      <c r="J48">
        <v>0</v>
      </c>
      <c r="K48">
        <v>0</v>
      </c>
      <c r="L48" s="1">
        <f t="shared" si="2"/>
        <v>0.114033254442995</v>
      </c>
      <c r="M48">
        <f t="shared" si="3"/>
        <v>0.31484588141595898</v>
      </c>
    </row>
    <row r="49" spans="1:13">
      <c r="A49">
        <v>2011</v>
      </c>
      <c r="B49">
        <v>5</v>
      </c>
      <c r="C49">
        <v>14</v>
      </c>
      <c r="D49">
        <v>0</v>
      </c>
      <c r="E49">
        <v>49.4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1">
        <f t="shared" si="2"/>
        <v>0</v>
      </c>
      <c r="M49">
        <f t="shared" si="3"/>
        <v>0.33484147560707</v>
      </c>
    </row>
    <row r="50" spans="1:13">
      <c r="A50">
        <v>2011</v>
      </c>
      <c r="B50">
        <v>5</v>
      </c>
      <c r="C50">
        <v>14</v>
      </c>
      <c r="D50">
        <v>1</v>
      </c>
      <c r="E50">
        <v>46.29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1">
        <f t="shared" si="2"/>
        <v>0</v>
      </c>
      <c r="M50">
        <f t="shared" si="3"/>
        <v>0.31376137461237402</v>
      </c>
    </row>
    <row r="51" spans="1:13">
      <c r="A51">
        <v>2011</v>
      </c>
      <c r="B51">
        <v>5</v>
      </c>
      <c r="C51">
        <v>14</v>
      </c>
      <c r="D51">
        <v>2</v>
      </c>
      <c r="E51">
        <v>47.18</v>
      </c>
      <c r="F51">
        <v>0.5</v>
      </c>
      <c r="G51">
        <v>0</v>
      </c>
      <c r="H51">
        <v>0</v>
      </c>
      <c r="I51">
        <v>0</v>
      </c>
      <c r="J51">
        <v>0</v>
      </c>
      <c r="K51">
        <v>0</v>
      </c>
      <c r="L51" s="1">
        <f t="shared" si="2"/>
        <v>0.114033254442995</v>
      </c>
      <c r="M51">
        <f t="shared" si="3"/>
        <v>0.31979394370731901</v>
      </c>
    </row>
    <row r="52" spans="1:13">
      <c r="A52">
        <v>2011</v>
      </c>
      <c r="B52">
        <v>5</v>
      </c>
      <c r="C52">
        <v>14</v>
      </c>
      <c r="D52">
        <v>3</v>
      </c>
      <c r="E52">
        <v>44.94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1">
        <f t="shared" si="2"/>
        <v>0</v>
      </c>
      <c r="M52">
        <f t="shared" si="3"/>
        <v>0.30461084845712</v>
      </c>
    </row>
    <row r="53" spans="1:13">
      <c r="A53">
        <v>2011</v>
      </c>
      <c r="B53">
        <v>5</v>
      </c>
      <c r="C53">
        <v>14</v>
      </c>
      <c r="D53">
        <v>4</v>
      </c>
      <c r="E53">
        <v>45.62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1">
        <f t="shared" si="2"/>
        <v>0</v>
      </c>
      <c r="M53">
        <f t="shared" si="3"/>
        <v>0.30922000237235903</v>
      </c>
    </row>
    <row r="54" spans="1:13">
      <c r="A54">
        <v>2011</v>
      </c>
      <c r="B54">
        <v>5</v>
      </c>
      <c r="C54">
        <v>14</v>
      </c>
      <c r="D54">
        <v>5</v>
      </c>
      <c r="E54">
        <v>46.96</v>
      </c>
      <c r="F54">
        <v>0.5</v>
      </c>
      <c r="G54">
        <v>0</v>
      </c>
      <c r="H54">
        <v>0</v>
      </c>
      <c r="I54">
        <v>0</v>
      </c>
      <c r="J54">
        <v>0</v>
      </c>
      <c r="K54">
        <v>0</v>
      </c>
      <c r="L54" s="1">
        <f t="shared" si="2"/>
        <v>0.114033254442995</v>
      </c>
      <c r="M54">
        <f t="shared" si="3"/>
        <v>0.31830274685238802</v>
      </c>
    </row>
    <row r="55" spans="1:13">
      <c r="A55">
        <v>2011</v>
      </c>
      <c r="B55">
        <v>5</v>
      </c>
      <c r="C55">
        <v>14</v>
      </c>
      <c r="D55">
        <v>6</v>
      </c>
      <c r="E55">
        <v>46.06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1">
        <f t="shared" si="2"/>
        <v>0</v>
      </c>
      <c r="M55">
        <f t="shared" si="3"/>
        <v>0.312202396082219</v>
      </c>
    </row>
    <row r="56" spans="1:13">
      <c r="A56">
        <v>2011</v>
      </c>
      <c r="B56">
        <v>5</v>
      </c>
      <c r="C56">
        <v>14</v>
      </c>
      <c r="D56">
        <v>7</v>
      </c>
      <c r="E56">
        <v>41.13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1">
        <f t="shared" si="2"/>
        <v>0</v>
      </c>
      <c r="M56">
        <f t="shared" si="3"/>
        <v>0.27878603019673598</v>
      </c>
    </row>
    <row r="57" spans="1:13">
      <c r="A57">
        <v>2011</v>
      </c>
      <c r="B57">
        <v>5</v>
      </c>
      <c r="C57">
        <v>14</v>
      </c>
      <c r="D57">
        <v>8</v>
      </c>
      <c r="E57">
        <v>35.6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1">
        <f t="shared" si="2"/>
        <v>0</v>
      </c>
      <c r="M57">
        <f t="shared" si="3"/>
        <v>0.24130276379780699</v>
      </c>
    </row>
    <row r="58" spans="1:13">
      <c r="A58">
        <v>2011</v>
      </c>
      <c r="B58">
        <v>5</v>
      </c>
      <c r="C58">
        <v>14</v>
      </c>
      <c r="D58">
        <v>9</v>
      </c>
      <c r="E58">
        <v>33.14</v>
      </c>
      <c r="F58">
        <v>0.5</v>
      </c>
      <c r="G58">
        <v>0</v>
      </c>
      <c r="H58">
        <v>0</v>
      </c>
      <c r="I58">
        <v>0</v>
      </c>
      <c r="J58">
        <v>0</v>
      </c>
      <c r="K58">
        <v>0</v>
      </c>
      <c r="L58" s="1">
        <f t="shared" si="2"/>
        <v>0.114033254442995</v>
      </c>
      <c r="M58">
        <f t="shared" si="3"/>
        <v>0.22462847169267799</v>
      </c>
    </row>
    <row r="59" spans="1:13">
      <c r="A59">
        <v>2011</v>
      </c>
      <c r="B59">
        <v>5</v>
      </c>
      <c r="C59">
        <v>14</v>
      </c>
      <c r="D59">
        <v>10</v>
      </c>
      <c r="E59">
        <v>32.28</v>
      </c>
      <c r="F59">
        <v>0</v>
      </c>
      <c r="G59">
        <v>0.5</v>
      </c>
      <c r="H59">
        <v>0</v>
      </c>
      <c r="I59">
        <v>0</v>
      </c>
      <c r="J59">
        <v>0</v>
      </c>
      <c r="K59">
        <v>1.17</v>
      </c>
      <c r="L59" s="1">
        <f t="shared" si="2"/>
        <v>0.31003155613546601</v>
      </c>
      <c r="M59">
        <f t="shared" si="3"/>
        <v>0.218799247623405</v>
      </c>
    </row>
    <row r="60" spans="1:13">
      <c r="A60">
        <v>2011</v>
      </c>
      <c r="B60">
        <v>5</v>
      </c>
      <c r="C60">
        <v>14</v>
      </c>
      <c r="D60">
        <v>11</v>
      </c>
      <c r="E60">
        <v>30.3</v>
      </c>
      <c r="F60">
        <v>0</v>
      </c>
      <c r="G60">
        <v>0</v>
      </c>
      <c r="H60">
        <v>1.5</v>
      </c>
      <c r="I60">
        <v>0.5</v>
      </c>
      <c r="J60">
        <v>1</v>
      </c>
      <c r="K60">
        <v>2.33</v>
      </c>
      <c r="L60" s="1">
        <f t="shared" si="2"/>
        <v>0.66376141226886098</v>
      </c>
      <c r="M60">
        <f t="shared" si="3"/>
        <v>0.20537847592903299</v>
      </c>
    </row>
    <row r="61" spans="1:13">
      <c r="A61">
        <v>2011</v>
      </c>
      <c r="B61">
        <v>5</v>
      </c>
      <c r="C61">
        <v>14</v>
      </c>
      <c r="D61">
        <v>12</v>
      </c>
      <c r="E61">
        <v>26.07</v>
      </c>
      <c r="F61">
        <v>0.5</v>
      </c>
      <c r="G61">
        <v>0</v>
      </c>
      <c r="H61">
        <v>0</v>
      </c>
      <c r="I61">
        <v>0</v>
      </c>
      <c r="J61">
        <v>0</v>
      </c>
      <c r="K61">
        <v>0</v>
      </c>
      <c r="L61" s="1">
        <f t="shared" si="2"/>
        <v>0.114033254442995</v>
      </c>
      <c r="M61">
        <f t="shared" si="3"/>
        <v>0.17670682730923701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M59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2012</v>
      </c>
      <c r="B4">
        <v>4</v>
      </c>
      <c r="C4">
        <v>16</v>
      </c>
      <c r="D4">
        <v>1</v>
      </c>
      <c r="E4">
        <v>4.55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">
        <f>F4*$F$2+G4*$G$2+H4*$H$2+I4*$I$2+J4*$J$2+K4*$K$2</f>
        <v>0</v>
      </c>
      <c r="M4">
        <f>E4*3600/(1000*$L$1)</f>
        <v>3.0840662226966901E-2</v>
      </c>
    </row>
    <row r="5" spans="1:13">
      <c r="A5">
        <v>2012</v>
      </c>
      <c r="B5">
        <v>4</v>
      </c>
      <c r="C5">
        <v>16</v>
      </c>
      <c r="D5">
        <v>2</v>
      </c>
      <c r="E5">
        <v>17.96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 s="1">
        <f t="shared" ref="L5:L36" si="0">F5*$F$2+G5*$G$2+H5*$H$2+I5*$I$2+J5*$J$2+K5*$K$2</f>
        <v>0.272478568752272</v>
      </c>
      <c r="M5">
        <f t="shared" ref="M5:M36" si="1">E5*3600/(1000*$L$1)</f>
        <v>0.121735888702489</v>
      </c>
    </row>
    <row r="6" spans="1:13">
      <c r="A6">
        <v>2012</v>
      </c>
      <c r="B6">
        <v>4</v>
      </c>
      <c r="C6">
        <v>16</v>
      </c>
      <c r="D6">
        <v>3</v>
      </c>
      <c r="E6">
        <v>17.100000000000001</v>
      </c>
      <c r="F6">
        <v>0</v>
      </c>
      <c r="G6">
        <v>0</v>
      </c>
      <c r="H6">
        <v>0</v>
      </c>
      <c r="I6">
        <v>1</v>
      </c>
      <c r="J6">
        <v>0</v>
      </c>
      <c r="K6">
        <v>18</v>
      </c>
      <c r="L6" s="1">
        <f t="shared" si="0"/>
        <v>2.58348725422083</v>
      </c>
      <c r="M6">
        <f t="shared" si="1"/>
        <v>0.115906664633216</v>
      </c>
    </row>
    <row r="7" spans="1:13">
      <c r="A7">
        <v>2012</v>
      </c>
      <c r="B7">
        <v>4</v>
      </c>
      <c r="C7">
        <v>16</v>
      </c>
      <c r="D7">
        <v>4</v>
      </c>
      <c r="E7">
        <v>17.600000000000001</v>
      </c>
      <c r="F7">
        <v>21</v>
      </c>
      <c r="G7">
        <v>14</v>
      </c>
      <c r="H7">
        <v>3</v>
      </c>
      <c r="I7">
        <v>17.5</v>
      </c>
      <c r="J7">
        <v>20</v>
      </c>
      <c r="K7">
        <v>8.5</v>
      </c>
      <c r="L7" s="1">
        <f t="shared" si="0"/>
        <v>13.891365744271001</v>
      </c>
      <c r="M7">
        <f t="shared" si="1"/>
        <v>0.119295748394422</v>
      </c>
    </row>
    <row r="8" spans="1:13">
      <c r="A8">
        <v>2012</v>
      </c>
      <c r="B8">
        <v>4</v>
      </c>
      <c r="C8">
        <v>16</v>
      </c>
      <c r="D8">
        <v>5</v>
      </c>
      <c r="E8">
        <v>20.8</v>
      </c>
      <c r="F8">
        <v>0</v>
      </c>
      <c r="G8">
        <v>1.5</v>
      </c>
      <c r="H8">
        <v>12</v>
      </c>
      <c r="I8">
        <v>0.5</v>
      </c>
      <c r="J8">
        <v>1.5</v>
      </c>
      <c r="K8">
        <v>0</v>
      </c>
      <c r="L8" s="1">
        <f t="shared" si="0"/>
        <v>2.4495026519580501</v>
      </c>
      <c r="M8">
        <f t="shared" si="1"/>
        <v>0.140985884466135</v>
      </c>
    </row>
    <row r="9" spans="1:13">
      <c r="A9">
        <v>2012</v>
      </c>
      <c r="B9">
        <v>4</v>
      </c>
      <c r="C9">
        <v>16</v>
      </c>
      <c r="D9">
        <v>6</v>
      </c>
      <c r="E9">
        <v>43.12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1">
        <f t="shared" si="0"/>
        <v>0</v>
      </c>
      <c r="M9">
        <f t="shared" si="1"/>
        <v>0.29227458356633301</v>
      </c>
    </row>
    <row r="10" spans="1:13">
      <c r="A10">
        <v>2012</v>
      </c>
      <c r="B10">
        <v>4</v>
      </c>
      <c r="C10">
        <v>16</v>
      </c>
      <c r="D10">
        <v>7</v>
      </c>
      <c r="E10">
        <v>47.38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">
        <f t="shared" si="0"/>
        <v>0</v>
      </c>
      <c r="M10">
        <f t="shared" si="1"/>
        <v>0.32114957721180099</v>
      </c>
    </row>
    <row r="11" spans="1:13">
      <c r="A11">
        <v>2012</v>
      </c>
      <c r="B11">
        <v>4</v>
      </c>
      <c r="C11">
        <v>16</v>
      </c>
      <c r="D11">
        <v>8</v>
      </c>
      <c r="E11">
        <v>34.4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1">
        <f t="shared" si="0"/>
        <v>0</v>
      </c>
      <c r="M11">
        <f t="shared" si="1"/>
        <v>0.23316896277091501</v>
      </c>
    </row>
    <row r="12" spans="1:13">
      <c r="A12">
        <v>2012</v>
      </c>
      <c r="B12">
        <v>4</v>
      </c>
      <c r="C12">
        <v>16</v>
      </c>
      <c r="D12">
        <v>9</v>
      </c>
      <c r="E12">
        <v>20.99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1">
        <f t="shared" si="0"/>
        <v>0</v>
      </c>
      <c r="M12">
        <f t="shared" si="1"/>
        <v>0.142273736295393</v>
      </c>
    </row>
    <row r="13" spans="1:13">
      <c r="A13">
        <v>2012</v>
      </c>
      <c r="B13">
        <v>4</v>
      </c>
      <c r="C13">
        <v>16</v>
      </c>
      <c r="D13">
        <v>10</v>
      </c>
      <c r="E13">
        <v>20.75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">
        <f t="shared" si="0"/>
        <v>0</v>
      </c>
      <c r="M13">
        <f t="shared" si="1"/>
        <v>0.140646976090014</v>
      </c>
    </row>
    <row r="14" spans="1:13">
      <c r="A14">
        <v>2012</v>
      </c>
      <c r="B14">
        <v>4</v>
      </c>
      <c r="C14">
        <v>16</v>
      </c>
      <c r="D14">
        <v>11</v>
      </c>
      <c r="E14">
        <v>23.77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">
        <f t="shared" si="0"/>
        <v>0</v>
      </c>
      <c r="M14">
        <f t="shared" si="1"/>
        <v>0.161117042007693</v>
      </c>
    </row>
    <row r="15" spans="1:13">
      <c r="A15">
        <v>2012</v>
      </c>
      <c r="B15">
        <v>4</v>
      </c>
      <c r="C15">
        <v>16</v>
      </c>
      <c r="D15">
        <v>12</v>
      </c>
      <c r="E15">
        <v>22.21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1">
        <f t="shared" si="0"/>
        <v>0</v>
      </c>
      <c r="M15">
        <f t="shared" si="1"/>
        <v>0.15054310067273299</v>
      </c>
    </row>
    <row r="16" spans="1:13">
      <c r="A16">
        <v>2012</v>
      </c>
      <c r="B16">
        <v>4</v>
      </c>
      <c r="C16">
        <v>16</v>
      </c>
      <c r="D16">
        <v>13</v>
      </c>
      <c r="E16">
        <v>20.39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f t="shared" si="0"/>
        <v>0</v>
      </c>
      <c r="M16">
        <f t="shared" si="1"/>
        <v>0.13820683578194601</v>
      </c>
    </row>
    <row r="17" spans="1:13">
      <c r="A17">
        <v>2012</v>
      </c>
      <c r="B17">
        <v>4</v>
      </c>
      <c r="C17">
        <v>16</v>
      </c>
      <c r="D17">
        <v>14</v>
      </c>
      <c r="E17">
        <v>20.16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">
        <f t="shared" si="0"/>
        <v>0</v>
      </c>
      <c r="M17">
        <f t="shared" si="1"/>
        <v>0.13664785725179199</v>
      </c>
    </row>
    <row r="18" spans="1:13">
      <c r="A18">
        <v>2012</v>
      </c>
      <c r="B18">
        <v>4</v>
      </c>
      <c r="C18">
        <v>16</v>
      </c>
      <c r="D18">
        <v>15</v>
      </c>
      <c r="E18">
        <v>21.32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1">
        <f t="shared" si="0"/>
        <v>0</v>
      </c>
      <c r="M18">
        <f t="shared" si="1"/>
        <v>0.14451053157778801</v>
      </c>
    </row>
    <row r="19" spans="1:13">
      <c r="A19">
        <v>2012</v>
      </c>
      <c r="B19">
        <v>4</v>
      </c>
      <c r="C19">
        <v>16</v>
      </c>
      <c r="D19">
        <v>16</v>
      </c>
      <c r="E19">
        <v>23.6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1">
        <f t="shared" si="0"/>
        <v>0</v>
      </c>
      <c r="M19">
        <f t="shared" si="1"/>
        <v>0.15996475352888301</v>
      </c>
    </row>
    <row r="20" spans="1:13">
      <c r="A20">
        <v>2012</v>
      </c>
      <c r="B20">
        <v>4</v>
      </c>
      <c r="C20">
        <v>16</v>
      </c>
      <c r="D20">
        <v>17</v>
      </c>
      <c r="E20">
        <v>23.6</v>
      </c>
      <c r="F20">
        <v>28</v>
      </c>
      <c r="G20">
        <v>3</v>
      </c>
      <c r="H20">
        <v>3.5</v>
      </c>
      <c r="I20">
        <v>4.5</v>
      </c>
      <c r="J20">
        <v>1</v>
      </c>
      <c r="K20">
        <v>0</v>
      </c>
      <c r="L20" s="1">
        <f t="shared" si="0"/>
        <v>8.4706279407362093</v>
      </c>
      <c r="M20">
        <f t="shared" si="1"/>
        <v>0.15996475352888301</v>
      </c>
    </row>
    <row r="21" spans="1:13">
      <c r="A21">
        <v>2012</v>
      </c>
      <c r="B21">
        <v>4</v>
      </c>
      <c r="C21">
        <v>16</v>
      </c>
      <c r="D21">
        <v>18</v>
      </c>
      <c r="E21">
        <v>21.48</v>
      </c>
      <c r="F21">
        <v>23</v>
      </c>
      <c r="G21">
        <v>30.5</v>
      </c>
      <c r="H21">
        <v>29</v>
      </c>
      <c r="I21">
        <v>33.5</v>
      </c>
      <c r="J21">
        <v>20</v>
      </c>
      <c r="K21">
        <v>14</v>
      </c>
      <c r="L21" s="1">
        <f t="shared" si="0"/>
        <v>26.1956518055344</v>
      </c>
      <c r="M21">
        <f t="shared" si="1"/>
        <v>0.145595038381374</v>
      </c>
    </row>
    <row r="22" spans="1:13">
      <c r="A22">
        <v>2012</v>
      </c>
      <c r="B22">
        <v>4</v>
      </c>
      <c r="C22">
        <v>16</v>
      </c>
      <c r="D22">
        <v>19</v>
      </c>
      <c r="E22">
        <v>65.64</v>
      </c>
      <c r="F22">
        <v>8.5</v>
      </c>
      <c r="G22">
        <v>0.5</v>
      </c>
      <c r="H22">
        <v>2.16</v>
      </c>
      <c r="I22">
        <v>0.5</v>
      </c>
      <c r="J22">
        <v>1</v>
      </c>
      <c r="K22">
        <v>4</v>
      </c>
      <c r="L22" s="1">
        <f t="shared" si="0"/>
        <v>3.08275540041083</v>
      </c>
      <c r="M22">
        <f t="shared" si="1"/>
        <v>0.44491891617101298</v>
      </c>
    </row>
    <row r="23" spans="1:13">
      <c r="A23">
        <v>2012</v>
      </c>
      <c r="B23">
        <v>4</v>
      </c>
      <c r="C23">
        <v>16</v>
      </c>
      <c r="D23">
        <v>20</v>
      </c>
      <c r="E23">
        <v>109.83</v>
      </c>
      <c r="F23">
        <v>0</v>
      </c>
      <c r="G23">
        <v>0</v>
      </c>
      <c r="H23">
        <v>0.34</v>
      </c>
      <c r="I23">
        <v>0</v>
      </c>
      <c r="J23">
        <v>0</v>
      </c>
      <c r="K23">
        <v>0</v>
      </c>
      <c r="L23" s="1">
        <f t="shared" si="0"/>
        <v>5.2688390693575997E-2</v>
      </c>
      <c r="M23">
        <f t="shared" si="1"/>
        <v>0.74444613898632495</v>
      </c>
    </row>
    <row r="24" spans="1:13">
      <c r="A24">
        <v>2012</v>
      </c>
      <c r="B24">
        <v>4</v>
      </c>
      <c r="C24">
        <v>16</v>
      </c>
      <c r="D24">
        <v>21</v>
      </c>
      <c r="E24">
        <v>109</v>
      </c>
      <c r="F24">
        <v>0.5</v>
      </c>
      <c r="G24">
        <v>0</v>
      </c>
      <c r="H24">
        <v>0</v>
      </c>
      <c r="I24">
        <v>0</v>
      </c>
      <c r="J24">
        <v>0</v>
      </c>
      <c r="K24">
        <v>0</v>
      </c>
      <c r="L24" s="1">
        <f t="shared" si="0"/>
        <v>0.114033254442995</v>
      </c>
      <c r="M24">
        <f t="shared" si="1"/>
        <v>0.73882025994272404</v>
      </c>
    </row>
    <row r="25" spans="1:13">
      <c r="A25">
        <v>2012</v>
      </c>
      <c r="B25">
        <v>4</v>
      </c>
      <c r="C25">
        <v>16</v>
      </c>
      <c r="D25">
        <v>22</v>
      </c>
      <c r="E25">
        <v>98.34</v>
      </c>
      <c r="F25">
        <v>0</v>
      </c>
      <c r="G25">
        <v>8</v>
      </c>
      <c r="H25">
        <v>0.33</v>
      </c>
      <c r="I25">
        <v>22</v>
      </c>
      <c r="J25">
        <v>12</v>
      </c>
      <c r="K25">
        <v>0.5</v>
      </c>
      <c r="L25" s="1">
        <f t="shared" si="0"/>
        <v>5.9947472025937802</v>
      </c>
      <c r="M25">
        <f t="shared" si="1"/>
        <v>0.66656499415383097</v>
      </c>
    </row>
    <row r="26" spans="1:13">
      <c r="A26">
        <v>2012</v>
      </c>
      <c r="B26">
        <v>4</v>
      </c>
      <c r="C26">
        <v>16</v>
      </c>
      <c r="D26">
        <v>23</v>
      </c>
      <c r="E26">
        <v>206.2</v>
      </c>
      <c r="F26">
        <v>0.75</v>
      </c>
      <c r="G26">
        <v>1</v>
      </c>
      <c r="H26">
        <v>0.67</v>
      </c>
      <c r="I26">
        <v>2.08</v>
      </c>
      <c r="J26">
        <v>9</v>
      </c>
      <c r="K26">
        <v>1</v>
      </c>
      <c r="L26" s="1">
        <f t="shared" si="0"/>
        <v>1.41979942272607</v>
      </c>
      <c r="M26">
        <f t="shared" si="1"/>
        <v>1.39765814312101</v>
      </c>
    </row>
    <row r="27" spans="1:13">
      <c r="A27">
        <v>2012</v>
      </c>
      <c r="B27">
        <v>4</v>
      </c>
      <c r="C27">
        <v>17</v>
      </c>
      <c r="D27">
        <v>0</v>
      </c>
      <c r="E27">
        <v>91.98</v>
      </c>
      <c r="F27">
        <v>1.5</v>
      </c>
      <c r="G27">
        <v>6</v>
      </c>
      <c r="H27">
        <v>1</v>
      </c>
      <c r="I27">
        <v>0.42</v>
      </c>
      <c r="J27">
        <v>0.5</v>
      </c>
      <c r="K27">
        <v>0</v>
      </c>
      <c r="L27" s="1">
        <f t="shared" si="0"/>
        <v>2.3838829109217001</v>
      </c>
      <c r="M27">
        <f t="shared" si="1"/>
        <v>0.623455848711301</v>
      </c>
    </row>
    <row r="28" spans="1:13">
      <c r="A28">
        <v>2012</v>
      </c>
      <c r="B28">
        <v>4</v>
      </c>
      <c r="C28">
        <v>17</v>
      </c>
      <c r="D28">
        <v>1</v>
      </c>
      <c r="E28">
        <v>170</v>
      </c>
      <c r="F28">
        <v>2.25</v>
      </c>
      <c r="G28">
        <v>1.07</v>
      </c>
      <c r="H28">
        <v>0</v>
      </c>
      <c r="I28">
        <v>25</v>
      </c>
      <c r="J28">
        <v>9</v>
      </c>
      <c r="K28">
        <v>0.33</v>
      </c>
      <c r="L28" s="1">
        <f t="shared" si="0"/>
        <v>4.5945288702865899</v>
      </c>
      <c r="M28">
        <f t="shared" si="1"/>
        <v>1.15228847880975</v>
      </c>
    </row>
    <row r="29" spans="1:13">
      <c r="A29">
        <v>2012</v>
      </c>
      <c r="B29">
        <v>4</v>
      </c>
      <c r="C29">
        <v>17</v>
      </c>
      <c r="D29">
        <v>2</v>
      </c>
      <c r="E29">
        <v>220</v>
      </c>
      <c r="F29">
        <v>0</v>
      </c>
      <c r="G29">
        <v>0.43</v>
      </c>
      <c r="H29">
        <v>0</v>
      </c>
      <c r="I29">
        <v>2</v>
      </c>
      <c r="J29">
        <v>3.5</v>
      </c>
      <c r="K29">
        <v>0.67</v>
      </c>
      <c r="L29" s="1">
        <f t="shared" si="0"/>
        <v>0.65218136493465695</v>
      </c>
      <c r="M29">
        <f t="shared" si="1"/>
        <v>1.4911968549302701</v>
      </c>
    </row>
    <row r="30" spans="1:13">
      <c r="A30">
        <v>2012</v>
      </c>
      <c r="B30">
        <v>4</v>
      </c>
      <c r="C30">
        <v>17</v>
      </c>
      <c r="D30">
        <v>3</v>
      </c>
      <c r="E30">
        <v>230.46</v>
      </c>
      <c r="F30">
        <v>0</v>
      </c>
      <c r="G30">
        <v>0</v>
      </c>
      <c r="H30">
        <v>0.5</v>
      </c>
      <c r="I30">
        <v>0</v>
      </c>
      <c r="J30">
        <v>0</v>
      </c>
      <c r="K30">
        <v>0</v>
      </c>
      <c r="L30" s="1">
        <f t="shared" si="0"/>
        <v>7.7482927490552994E-2</v>
      </c>
      <c r="M30">
        <f t="shared" si="1"/>
        <v>1.5620964872146801</v>
      </c>
    </row>
    <row r="31" spans="1:13">
      <c r="A31">
        <v>2012</v>
      </c>
      <c r="B31">
        <v>4</v>
      </c>
      <c r="C31">
        <v>17</v>
      </c>
      <c r="D31">
        <v>4</v>
      </c>
      <c r="E31">
        <v>243.85</v>
      </c>
      <c r="F31">
        <v>0.5</v>
      </c>
      <c r="G31">
        <v>0</v>
      </c>
      <c r="H31">
        <v>0</v>
      </c>
      <c r="I31">
        <v>0</v>
      </c>
      <c r="J31">
        <v>0</v>
      </c>
      <c r="K31">
        <v>0.5</v>
      </c>
      <c r="L31" s="1">
        <f t="shared" si="0"/>
        <v>0.18215289663106199</v>
      </c>
      <c r="M31">
        <f t="shared" si="1"/>
        <v>1.6528561503397601</v>
      </c>
    </row>
    <row r="32" spans="1:13">
      <c r="A32">
        <v>2012</v>
      </c>
      <c r="B32">
        <v>4</v>
      </c>
      <c r="C32">
        <v>17</v>
      </c>
      <c r="D32">
        <v>5</v>
      </c>
      <c r="E32">
        <v>122.2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s="1">
        <f t="shared" si="0"/>
        <v>0</v>
      </c>
      <c r="M32">
        <f t="shared" si="1"/>
        <v>0.82829207123854098</v>
      </c>
    </row>
    <row r="33" spans="1:13">
      <c r="A33">
        <v>2012</v>
      </c>
      <c r="B33">
        <v>4</v>
      </c>
      <c r="C33">
        <v>17</v>
      </c>
      <c r="D33">
        <v>6</v>
      </c>
      <c r="E33">
        <v>117</v>
      </c>
      <c r="F33">
        <v>0</v>
      </c>
      <c r="G33">
        <v>0.5</v>
      </c>
      <c r="H33">
        <v>0.25</v>
      </c>
      <c r="I33">
        <v>0</v>
      </c>
      <c r="J33">
        <v>0</v>
      </c>
      <c r="K33">
        <v>0</v>
      </c>
      <c r="L33" s="1">
        <f t="shared" si="0"/>
        <v>0.18937305716066299</v>
      </c>
      <c r="M33">
        <f t="shared" si="1"/>
        <v>0.79304560012200698</v>
      </c>
    </row>
    <row r="34" spans="1:13">
      <c r="A34">
        <v>2012</v>
      </c>
      <c r="B34">
        <v>4</v>
      </c>
      <c r="C34">
        <v>17</v>
      </c>
      <c r="D34">
        <v>7</v>
      </c>
      <c r="E34">
        <v>107</v>
      </c>
      <c r="F34">
        <v>0</v>
      </c>
      <c r="G34">
        <v>3.5</v>
      </c>
      <c r="H34">
        <v>0.5</v>
      </c>
      <c r="I34">
        <v>1</v>
      </c>
      <c r="J34">
        <v>0.33</v>
      </c>
      <c r="K34">
        <v>0</v>
      </c>
      <c r="L34" s="1">
        <f t="shared" si="0"/>
        <v>1.2790182765756</v>
      </c>
      <c r="M34">
        <f t="shared" si="1"/>
        <v>0.72526392489790403</v>
      </c>
    </row>
    <row r="35" spans="1:13">
      <c r="A35">
        <v>2012</v>
      </c>
      <c r="B35">
        <v>4</v>
      </c>
      <c r="C35">
        <v>17</v>
      </c>
      <c r="D35">
        <v>8</v>
      </c>
      <c r="E35">
        <v>123.22</v>
      </c>
      <c r="F35">
        <v>0.5</v>
      </c>
      <c r="G35">
        <v>0</v>
      </c>
      <c r="H35">
        <v>0.75</v>
      </c>
      <c r="I35">
        <v>0</v>
      </c>
      <c r="J35">
        <v>0.67</v>
      </c>
      <c r="K35">
        <v>0.5</v>
      </c>
      <c r="L35" s="1">
        <f t="shared" si="0"/>
        <v>0.33072825761555402</v>
      </c>
      <c r="M35">
        <f t="shared" si="1"/>
        <v>0.83520580211139905</v>
      </c>
    </row>
    <row r="36" spans="1:13">
      <c r="A36">
        <v>2012</v>
      </c>
      <c r="B36">
        <v>4</v>
      </c>
      <c r="C36">
        <v>17</v>
      </c>
      <c r="D36">
        <v>9</v>
      </c>
      <c r="E36">
        <v>92.1</v>
      </c>
      <c r="F36">
        <v>0.5</v>
      </c>
      <c r="G36">
        <v>0</v>
      </c>
      <c r="H36">
        <v>0</v>
      </c>
      <c r="I36">
        <v>0.5</v>
      </c>
      <c r="J36">
        <v>0</v>
      </c>
      <c r="K36">
        <v>1</v>
      </c>
      <c r="L36" s="1">
        <f t="shared" si="0"/>
        <v>0.31586260654432102</v>
      </c>
      <c r="M36">
        <f t="shared" si="1"/>
        <v>0.62426922881399005</v>
      </c>
    </row>
    <row r="37" spans="1:13">
      <c r="A37">
        <v>2012</v>
      </c>
      <c r="B37">
        <v>4</v>
      </c>
      <c r="C37">
        <v>17</v>
      </c>
      <c r="D37">
        <v>10</v>
      </c>
      <c r="E37">
        <v>85.37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1">
        <f t="shared" ref="L37:L59" si="2">F37*$F$2+G37*$G$2+H37*$H$2+I37*$I$2+J37*$J$2+K37*$K$2</f>
        <v>0</v>
      </c>
      <c r="M37">
        <f t="shared" ref="M37:M59" si="3">E37*3600/(1000*$L$1)</f>
        <v>0.578652161388169</v>
      </c>
    </row>
    <row r="38" spans="1:13">
      <c r="A38">
        <v>2012</v>
      </c>
      <c r="B38">
        <v>4</v>
      </c>
      <c r="C38">
        <v>17</v>
      </c>
      <c r="D38">
        <v>11</v>
      </c>
      <c r="E38">
        <v>54.07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1">
        <f t="shared" si="2"/>
        <v>0</v>
      </c>
      <c r="M38">
        <f t="shared" si="3"/>
        <v>0.36649551793672602</v>
      </c>
    </row>
    <row r="39" spans="1:13">
      <c r="A39">
        <v>2012</v>
      </c>
      <c r="B39">
        <v>4</v>
      </c>
      <c r="C39">
        <v>17</v>
      </c>
      <c r="D39">
        <v>12</v>
      </c>
      <c r="E39">
        <v>41.96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1">
        <f t="shared" si="2"/>
        <v>0</v>
      </c>
      <c r="M39">
        <f t="shared" si="3"/>
        <v>0.28441190924033699</v>
      </c>
    </row>
    <row r="40" spans="1:13">
      <c r="A40">
        <v>2012</v>
      </c>
      <c r="B40">
        <v>4</v>
      </c>
      <c r="C40">
        <v>17</v>
      </c>
      <c r="D40">
        <v>13</v>
      </c>
      <c r="E40">
        <v>55.7</v>
      </c>
      <c r="F40">
        <v>2.5</v>
      </c>
      <c r="G40">
        <v>3</v>
      </c>
      <c r="H40">
        <v>1.5</v>
      </c>
      <c r="I40">
        <v>3</v>
      </c>
      <c r="J40">
        <v>3</v>
      </c>
      <c r="K40">
        <v>1</v>
      </c>
      <c r="L40" s="1">
        <f t="shared" si="2"/>
        <v>2.3810393943330799</v>
      </c>
      <c r="M40">
        <f t="shared" si="3"/>
        <v>0.37754393099825501</v>
      </c>
    </row>
    <row r="41" spans="1:13">
      <c r="A41">
        <v>2012</v>
      </c>
      <c r="B41">
        <v>4</v>
      </c>
      <c r="C41">
        <v>17</v>
      </c>
      <c r="D41">
        <v>14</v>
      </c>
      <c r="E41">
        <v>91.74</v>
      </c>
      <c r="F41">
        <v>4.5</v>
      </c>
      <c r="G41">
        <v>9</v>
      </c>
      <c r="H41">
        <v>6</v>
      </c>
      <c r="I41">
        <v>7.5</v>
      </c>
      <c r="J41">
        <v>8.5</v>
      </c>
      <c r="K41">
        <v>4</v>
      </c>
      <c r="L41" s="1">
        <f t="shared" si="2"/>
        <v>6.6066940052756804</v>
      </c>
      <c r="M41">
        <f t="shared" si="3"/>
        <v>0.621829088505922</v>
      </c>
    </row>
    <row r="42" spans="1:13">
      <c r="A42">
        <v>2012</v>
      </c>
      <c r="B42">
        <v>4</v>
      </c>
      <c r="C42">
        <v>17</v>
      </c>
      <c r="D42">
        <v>15</v>
      </c>
      <c r="E42">
        <v>109.47</v>
      </c>
      <c r="F42">
        <v>1.5</v>
      </c>
      <c r="G42">
        <v>3</v>
      </c>
      <c r="H42">
        <v>3.5</v>
      </c>
      <c r="I42">
        <v>1.91</v>
      </c>
      <c r="J42">
        <v>2.5</v>
      </c>
      <c r="K42">
        <v>1.5</v>
      </c>
      <c r="L42" s="1">
        <f t="shared" si="2"/>
        <v>2.36389537521864</v>
      </c>
      <c r="M42">
        <f t="shared" si="3"/>
        <v>0.74200599867825701</v>
      </c>
    </row>
    <row r="43" spans="1:13">
      <c r="A43">
        <v>2012</v>
      </c>
      <c r="B43">
        <v>4</v>
      </c>
      <c r="C43">
        <v>17</v>
      </c>
      <c r="D43">
        <v>16</v>
      </c>
      <c r="E43">
        <v>59</v>
      </c>
      <c r="F43">
        <v>0</v>
      </c>
      <c r="G43">
        <v>0.5</v>
      </c>
      <c r="H43">
        <v>1</v>
      </c>
      <c r="I43">
        <v>1.0900000000000001</v>
      </c>
      <c r="J43">
        <v>0</v>
      </c>
      <c r="K43">
        <v>0</v>
      </c>
      <c r="L43" s="1">
        <f t="shared" si="2"/>
        <v>0.448583796037408</v>
      </c>
      <c r="M43">
        <f t="shared" si="3"/>
        <v>0.39991188382220899</v>
      </c>
    </row>
    <row r="44" spans="1:13">
      <c r="A44">
        <v>2012</v>
      </c>
      <c r="B44">
        <v>4</v>
      </c>
      <c r="C44">
        <v>17</v>
      </c>
      <c r="D44">
        <v>17</v>
      </c>
      <c r="E44">
        <v>34.4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1">
        <f t="shared" si="2"/>
        <v>0</v>
      </c>
      <c r="M44">
        <f t="shared" si="3"/>
        <v>0.23316896277091501</v>
      </c>
    </row>
    <row r="45" spans="1:13">
      <c r="A45">
        <v>2012</v>
      </c>
      <c r="B45">
        <v>4</v>
      </c>
      <c r="C45">
        <v>17</v>
      </c>
      <c r="D45">
        <v>18</v>
      </c>
      <c r="E45">
        <v>60.7</v>
      </c>
      <c r="F45">
        <v>0.5</v>
      </c>
      <c r="G45">
        <v>0</v>
      </c>
      <c r="H45">
        <v>0</v>
      </c>
      <c r="I45">
        <v>0</v>
      </c>
      <c r="J45">
        <v>0</v>
      </c>
      <c r="K45">
        <v>0</v>
      </c>
      <c r="L45" s="1">
        <f t="shared" si="2"/>
        <v>0.114033254442995</v>
      </c>
      <c r="M45">
        <f t="shared" si="3"/>
        <v>0.41143476861030598</v>
      </c>
    </row>
    <row r="46" spans="1:13">
      <c r="A46">
        <v>2012</v>
      </c>
      <c r="B46">
        <v>4</v>
      </c>
      <c r="C46">
        <v>17</v>
      </c>
      <c r="D46">
        <v>19</v>
      </c>
      <c r="E46">
        <v>60.7</v>
      </c>
      <c r="F46">
        <v>1</v>
      </c>
      <c r="G46">
        <v>3</v>
      </c>
      <c r="H46">
        <v>3</v>
      </c>
      <c r="I46">
        <v>0</v>
      </c>
      <c r="J46">
        <v>1</v>
      </c>
      <c r="K46">
        <v>0</v>
      </c>
      <c r="L46" s="1">
        <f t="shared" si="2"/>
        <v>1.6450386637972401</v>
      </c>
      <c r="M46">
        <f t="shared" si="3"/>
        <v>0.41143476861030598</v>
      </c>
    </row>
    <row r="47" spans="1:13">
      <c r="A47">
        <v>2012</v>
      </c>
      <c r="B47">
        <v>4</v>
      </c>
      <c r="C47">
        <v>17</v>
      </c>
      <c r="D47">
        <v>20</v>
      </c>
      <c r="E47">
        <v>56.25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1">
        <f t="shared" si="2"/>
        <v>0</v>
      </c>
      <c r="M47">
        <f t="shared" si="3"/>
        <v>0.38127192313558</v>
      </c>
    </row>
    <row r="48" spans="1:13">
      <c r="A48">
        <v>2012</v>
      </c>
      <c r="B48">
        <v>4</v>
      </c>
      <c r="C48">
        <v>17</v>
      </c>
      <c r="D48">
        <v>21</v>
      </c>
      <c r="E48">
        <v>53.11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1">
        <f t="shared" si="2"/>
        <v>0</v>
      </c>
      <c r="M48">
        <f t="shared" si="3"/>
        <v>0.35998847711521198</v>
      </c>
    </row>
    <row r="49" spans="1:13">
      <c r="A49">
        <v>2012</v>
      </c>
      <c r="B49">
        <v>4</v>
      </c>
      <c r="C49">
        <v>17</v>
      </c>
      <c r="D49">
        <v>22</v>
      </c>
      <c r="E49">
        <v>51.02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1">
        <f t="shared" si="2"/>
        <v>0</v>
      </c>
      <c r="M49">
        <f t="shared" si="3"/>
        <v>0.34582210699337401</v>
      </c>
    </row>
    <row r="50" spans="1:13">
      <c r="A50">
        <v>2012</v>
      </c>
      <c r="B50">
        <v>4</v>
      </c>
      <c r="C50">
        <v>17</v>
      </c>
      <c r="D50">
        <v>23</v>
      </c>
      <c r="E50">
        <v>49.77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1">
        <f t="shared" si="2"/>
        <v>0</v>
      </c>
      <c r="M50">
        <f t="shared" si="3"/>
        <v>0.33734939759036098</v>
      </c>
    </row>
    <row r="51" spans="1:13">
      <c r="A51">
        <v>2012</v>
      </c>
      <c r="B51">
        <v>4</v>
      </c>
      <c r="C51">
        <v>18</v>
      </c>
      <c r="D51">
        <v>0</v>
      </c>
      <c r="E51">
        <v>49.12</v>
      </c>
      <c r="F51">
        <v>0.5</v>
      </c>
      <c r="G51">
        <v>0</v>
      </c>
      <c r="H51">
        <v>0</v>
      </c>
      <c r="I51">
        <v>0</v>
      </c>
      <c r="J51">
        <v>0</v>
      </c>
      <c r="K51">
        <v>0</v>
      </c>
      <c r="L51" s="1">
        <f t="shared" si="2"/>
        <v>0.114033254442995</v>
      </c>
      <c r="M51">
        <f t="shared" si="3"/>
        <v>0.33294358870079499</v>
      </c>
    </row>
    <row r="52" spans="1:13">
      <c r="A52">
        <v>2012</v>
      </c>
      <c r="B52">
        <v>4</v>
      </c>
      <c r="C52">
        <v>18</v>
      </c>
      <c r="D52">
        <v>1</v>
      </c>
      <c r="E52">
        <v>48.85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1">
        <f t="shared" si="2"/>
        <v>0</v>
      </c>
      <c r="M52">
        <f t="shared" si="3"/>
        <v>0.33111348346974401</v>
      </c>
    </row>
    <row r="53" spans="1:13">
      <c r="A53">
        <v>2012</v>
      </c>
      <c r="B53">
        <v>4</v>
      </c>
      <c r="C53">
        <v>18</v>
      </c>
      <c r="D53">
        <v>2</v>
      </c>
      <c r="E53">
        <v>48.71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1">
        <f t="shared" si="2"/>
        <v>0</v>
      </c>
      <c r="M53">
        <f t="shared" si="3"/>
        <v>0.330164540016607</v>
      </c>
    </row>
    <row r="54" spans="1:13">
      <c r="A54">
        <v>2012</v>
      </c>
      <c r="B54">
        <v>4</v>
      </c>
      <c r="C54">
        <v>18</v>
      </c>
      <c r="D54">
        <v>3</v>
      </c>
      <c r="E54">
        <v>48.39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1">
        <f t="shared" si="2"/>
        <v>0</v>
      </c>
      <c r="M54">
        <f t="shared" si="3"/>
        <v>0.32799552640943502</v>
      </c>
    </row>
    <row r="55" spans="1:13">
      <c r="A55">
        <v>2012</v>
      </c>
      <c r="B55">
        <v>4</v>
      </c>
      <c r="C55">
        <v>18</v>
      </c>
      <c r="D55">
        <v>4</v>
      </c>
      <c r="E55">
        <v>47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1">
        <f t="shared" si="2"/>
        <v>0</v>
      </c>
      <c r="M55">
        <f t="shared" si="3"/>
        <v>0.31857387355328498</v>
      </c>
    </row>
    <row r="56" spans="1:13">
      <c r="A56">
        <v>2012</v>
      </c>
      <c r="B56">
        <v>4</v>
      </c>
      <c r="C56">
        <v>18</v>
      </c>
      <c r="D56">
        <v>5</v>
      </c>
      <c r="E56">
        <v>44.57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1">
        <f t="shared" si="2"/>
        <v>0</v>
      </c>
      <c r="M56">
        <f t="shared" si="3"/>
        <v>0.30210292647382803</v>
      </c>
    </row>
    <row r="57" spans="1:13">
      <c r="A57">
        <v>2012</v>
      </c>
      <c r="B57">
        <v>4</v>
      </c>
      <c r="C57">
        <v>18</v>
      </c>
      <c r="D57">
        <v>6</v>
      </c>
      <c r="E57">
        <v>45.4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1">
        <f t="shared" si="2"/>
        <v>0</v>
      </c>
      <c r="M57">
        <f t="shared" si="3"/>
        <v>0.30772880551742798</v>
      </c>
    </row>
    <row r="58" spans="1:13">
      <c r="A58">
        <v>2012</v>
      </c>
      <c r="B58">
        <v>4</v>
      </c>
      <c r="C58">
        <v>18</v>
      </c>
      <c r="D58">
        <v>7</v>
      </c>
      <c r="E58">
        <v>47.28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1">
        <f t="shared" si="2"/>
        <v>0</v>
      </c>
      <c r="M58">
        <f t="shared" si="3"/>
        <v>0.32047176045956</v>
      </c>
    </row>
    <row r="59" spans="1:13">
      <c r="A59">
        <v>2012</v>
      </c>
      <c r="B59">
        <v>4</v>
      </c>
      <c r="C59">
        <v>18</v>
      </c>
      <c r="D59">
        <v>8</v>
      </c>
      <c r="E59">
        <v>43.7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1">
        <f t="shared" si="2"/>
        <v>0</v>
      </c>
      <c r="M59">
        <f t="shared" si="3"/>
        <v>0.296205920729331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M167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2012</v>
      </c>
      <c r="B4">
        <v>6</v>
      </c>
      <c r="C4">
        <v>21</v>
      </c>
      <c r="D4">
        <v>6</v>
      </c>
      <c r="E4">
        <v>17.29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">
        <f>F4*$F$2+G4*$G$2+H4*$H$2+I4*$I$2+J4*$J$2+K4*$K$2</f>
        <v>0</v>
      </c>
      <c r="M4">
        <f>E4*3600/(1000*$L$1)</f>
        <v>0.117194516462474</v>
      </c>
    </row>
    <row r="5" spans="1:13">
      <c r="A5">
        <v>2012</v>
      </c>
      <c r="B5">
        <v>6</v>
      </c>
      <c r="C5">
        <v>21</v>
      </c>
      <c r="D5">
        <v>7</v>
      </c>
      <c r="E5">
        <v>18.78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f t="shared" ref="L5:L36" si="0">F5*$F$2+G5*$G$2+H5*$H$2+I5*$I$2+J5*$J$2+K5*$K$2</f>
        <v>0</v>
      </c>
      <c r="M5">
        <f t="shared" ref="M5:M36" si="1">E5*3600/(1000*$L$1)</f>
        <v>0.12729398607086601</v>
      </c>
    </row>
    <row r="6" spans="1:13">
      <c r="A6">
        <v>2012</v>
      </c>
      <c r="B6">
        <v>6</v>
      </c>
      <c r="C6">
        <v>21</v>
      </c>
      <c r="D6">
        <v>8</v>
      </c>
      <c r="E6">
        <v>13.2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f t="shared" si="0"/>
        <v>0</v>
      </c>
      <c r="M6">
        <f t="shared" si="1"/>
        <v>8.9471811295816203E-2</v>
      </c>
    </row>
    <row r="7" spans="1:13">
      <c r="A7">
        <v>2012</v>
      </c>
      <c r="B7">
        <v>6</v>
      </c>
      <c r="C7">
        <v>21</v>
      </c>
      <c r="D7">
        <v>9</v>
      </c>
      <c r="E7">
        <v>13.82</v>
      </c>
      <c r="F7">
        <v>0.5</v>
      </c>
      <c r="G7">
        <v>0</v>
      </c>
      <c r="H7">
        <v>0</v>
      </c>
      <c r="I7">
        <v>0</v>
      </c>
      <c r="J7">
        <v>0</v>
      </c>
      <c r="K7">
        <v>0</v>
      </c>
      <c r="L7" s="1">
        <f t="shared" si="0"/>
        <v>0.114033254442995</v>
      </c>
      <c r="M7">
        <f t="shared" si="1"/>
        <v>9.3674275159710593E-2</v>
      </c>
    </row>
    <row r="8" spans="1:13">
      <c r="A8">
        <v>2012</v>
      </c>
      <c r="B8">
        <v>6</v>
      </c>
      <c r="C8">
        <v>21</v>
      </c>
      <c r="D8">
        <v>10</v>
      </c>
      <c r="E8">
        <v>29.64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">
        <f t="shared" si="0"/>
        <v>0</v>
      </c>
      <c r="M8">
        <f t="shared" si="1"/>
        <v>0.200904885364242</v>
      </c>
    </row>
    <row r="9" spans="1:13">
      <c r="A9">
        <v>2012</v>
      </c>
      <c r="B9">
        <v>6</v>
      </c>
      <c r="C9">
        <v>21</v>
      </c>
      <c r="D9">
        <v>11</v>
      </c>
      <c r="E9">
        <v>30.16</v>
      </c>
      <c r="F9">
        <v>0</v>
      </c>
      <c r="G9">
        <v>1.5</v>
      </c>
      <c r="H9">
        <v>5.5</v>
      </c>
      <c r="I9">
        <v>0</v>
      </c>
      <c r="J9">
        <v>0</v>
      </c>
      <c r="K9">
        <v>0</v>
      </c>
      <c r="L9" s="1">
        <f t="shared" si="0"/>
        <v>1.30420698264224</v>
      </c>
      <c r="M9">
        <f t="shared" si="1"/>
        <v>0.20442953247589499</v>
      </c>
    </row>
    <row r="10" spans="1:13">
      <c r="A10">
        <v>2012</v>
      </c>
      <c r="B10">
        <v>6</v>
      </c>
      <c r="C10">
        <v>21</v>
      </c>
      <c r="D10">
        <v>12</v>
      </c>
      <c r="E10">
        <v>34.020000000000003</v>
      </c>
      <c r="F10">
        <v>1</v>
      </c>
      <c r="G10">
        <v>0</v>
      </c>
      <c r="H10">
        <v>10</v>
      </c>
      <c r="I10">
        <v>0</v>
      </c>
      <c r="J10">
        <v>30</v>
      </c>
      <c r="K10">
        <v>4</v>
      </c>
      <c r="L10" s="1">
        <f t="shared" si="0"/>
        <v>3.7712330804700298</v>
      </c>
      <c r="M10">
        <f t="shared" si="1"/>
        <v>0.230593259112399</v>
      </c>
    </row>
    <row r="11" spans="1:13">
      <c r="A11">
        <v>2012</v>
      </c>
      <c r="B11">
        <v>6</v>
      </c>
      <c r="C11">
        <v>21</v>
      </c>
      <c r="D11">
        <v>13</v>
      </c>
      <c r="E11">
        <v>41.31</v>
      </c>
      <c r="F11">
        <v>3</v>
      </c>
      <c r="G11">
        <v>0.5</v>
      </c>
      <c r="H11">
        <v>0.5</v>
      </c>
      <c r="I11">
        <v>3</v>
      </c>
      <c r="J11">
        <v>14</v>
      </c>
      <c r="K11">
        <v>13.5</v>
      </c>
      <c r="L11" s="1">
        <f t="shared" si="0"/>
        <v>3.8210752056514901</v>
      </c>
      <c r="M11">
        <f t="shared" si="1"/>
        <v>0.28000610035077</v>
      </c>
    </row>
    <row r="12" spans="1:13">
      <c r="A12">
        <v>2012</v>
      </c>
      <c r="B12">
        <v>6</v>
      </c>
      <c r="C12">
        <v>21</v>
      </c>
      <c r="D12">
        <v>14</v>
      </c>
      <c r="E12">
        <v>37.15</v>
      </c>
      <c r="F12">
        <v>12</v>
      </c>
      <c r="G12">
        <v>13.5</v>
      </c>
      <c r="H12">
        <v>4.5</v>
      </c>
      <c r="I12">
        <v>5</v>
      </c>
      <c r="J12">
        <v>0.5</v>
      </c>
      <c r="K12">
        <v>1</v>
      </c>
      <c r="L12" s="1">
        <f t="shared" si="0"/>
        <v>8.3174799526281404</v>
      </c>
      <c r="M12">
        <f t="shared" si="1"/>
        <v>0.25180892345754302</v>
      </c>
    </row>
    <row r="13" spans="1:13">
      <c r="A13">
        <v>2012</v>
      </c>
      <c r="B13">
        <v>6</v>
      </c>
      <c r="C13">
        <v>21</v>
      </c>
      <c r="D13">
        <v>15</v>
      </c>
      <c r="E13">
        <v>32.04</v>
      </c>
      <c r="F13">
        <v>17.5</v>
      </c>
      <c r="G13">
        <v>4</v>
      </c>
      <c r="H13">
        <v>3</v>
      </c>
      <c r="I13">
        <v>24</v>
      </c>
      <c r="J13">
        <v>15.5</v>
      </c>
      <c r="K13">
        <v>15.5</v>
      </c>
      <c r="L13" s="1">
        <f t="shared" si="0"/>
        <v>11.6695643332825</v>
      </c>
      <c r="M13">
        <f t="shared" si="1"/>
        <v>0.217172487418027</v>
      </c>
    </row>
    <row r="14" spans="1:13">
      <c r="A14">
        <v>2012</v>
      </c>
      <c r="B14">
        <v>6</v>
      </c>
      <c r="C14">
        <v>21</v>
      </c>
      <c r="D14">
        <v>16</v>
      </c>
      <c r="E14">
        <v>34.64</v>
      </c>
      <c r="F14">
        <v>4.5</v>
      </c>
      <c r="G14">
        <v>2</v>
      </c>
      <c r="H14">
        <v>3</v>
      </c>
      <c r="I14">
        <v>2</v>
      </c>
      <c r="J14">
        <v>1</v>
      </c>
      <c r="K14">
        <v>3</v>
      </c>
      <c r="L14" s="1">
        <f t="shared" si="0"/>
        <v>2.8130863820965999</v>
      </c>
      <c r="M14">
        <f t="shared" si="1"/>
        <v>0.234795722976293</v>
      </c>
    </row>
    <row r="15" spans="1:13">
      <c r="A15">
        <v>2012</v>
      </c>
      <c r="B15">
        <v>6</v>
      </c>
      <c r="C15">
        <v>21</v>
      </c>
      <c r="D15">
        <v>17</v>
      </c>
      <c r="E15">
        <v>34.520000000000003</v>
      </c>
      <c r="F15">
        <v>10</v>
      </c>
      <c r="G15">
        <v>7</v>
      </c>
      <c r="H15">
        <v>9</v>
      </c>
      <c r="I15">
        <v>6.5</v>
      </c>
      <c r="J15">
        <v>11</v>
      </c>
      <c r="K15">
        <v>6</v>
      </c>
      <c r="L15" s="1">
        <f t="shared" si="0"/>
        <v>7.9854420024213102</v>
      </c>
      <c r="M15">
        <f t="shared" si="1"/>
        <v>0.233982342873604</v>
      </c>
    </row>
    <row r="16" spans="1:13">
      <c r="A16">
        <v>2012</v>
      </c>
      <c r="B16">
        <v>6</v>
      </c>
      <c r="C16">
        <v>21</v>
      </c>
      <c r="D16">
        <v>18</v>
      </c>
      <c r="E16">
        <v>29.79</v>
      </c>
      <c r="F16">
        <v>1.5</v>
      </c>
      <c r="G16">
        <v>1.5</v>
      </c>
      <c r="H16">
        <v>4.5</v>
      </c>
      <c r="I16">
        <v>2.06</v>
      </c>
      <c r="J16">
        <v>4</v>
      </c>
      <c r="K16">
        <v>2.5</v>
      </c>
      <c r="L16" s="1">
        <f t="shared" si="0"/>
        <v>2.2953102988606999</v>
      </c>
      <c r="M16">
        <f t="shared" si="1"/>
        <v>0.20192161049260299</v>
      </c>
    </row>
    <row r="17" spans="1:13">
      <c r="A17">
        <v>2012</v>
      </c>
      <c r="B17">
        <v>6</v>
      </c>
      <c r="C17">
        <v>21</v>
      </c>
      <c r="D17">
        <v>19</v>
      </c>
      <c r="E17">
        <v>33.130000000000003</v>
      </c>
      <c r="F17">
        <v>7</v>
      </c>
      <c r="G17">
        <v>3.5</v>
      </c>
      <c r="H17">
        <v>4</v>
      </c>
      <c r="I17">
        <v>1.44</v>
      </c>
      <c r="J17">
        <v>3</v>
      </c>
      <c r="K17">
        <v>3</v>
      </c>
      <c r="L17" s="1">
        <f t="shared" si="0"/>
        <v>4.0132224726378602</v>
      </c>
      <c r="M17">
        <f t="shared" si="1"/>
        <v>0.22456069001745399</v>
      </c>
    </row>
    <row r="18" spans="1:13">
      <c r="A18">
        <v>2012</v>
      </c>
      <c r="B18">
        <v>6</v>
      </c>
      <c r="C18">
        <v>21</v>
      </c>
      <c r="D18">
        <v>20</v>
      </c>
      <c r="E18">
        <v>57.59</v>
      </c>
      <c r="F18">
        <v>2.5</v>
      </c>
      <c r="G18">
        <v>4.5</v>
      </c>
      <c r="H18">
        <v>13.5</v>
      </c>
      <c r="I18">
        <v>10</v>
      </c>
      <c r="J18">
        <v>4.5</v>
      </c>
      <c r="K18">
        <v>4</v>
      </c>
      <c r="L18" s="1">
        <f t="shared" si="0"/>
        <v>6.0919307798470097</v>
      </c>
      <c r="M18">
        <f t="shared" si="1"/>
        <v>0.39035466761561</v>
      </c>
    </row>
    <row r="19" spans="1:13">
      <c r="A19">
        <v>2012</v>
      </c>
      <c r="B19">
        <v>6</v>
      </c>
      <c r="C19">
        <v>21</v>
      </c>
      <c r="D19">
        <v>21</v>
      </c>
      <c r="E19">
        <v>98.6</v>
      </c>
      <c r="F19">
        <v>1.62</v>
      </c>
      <c r="G19">
        <v>1.46</v>
      </c>
      <c r="H19">
        <v>1.9</v>
      </c>
      <c r="I19">
        <v>1.79</v>
      </c>
      <c r="J19">
        <v>1.24</v>
      </c>
      <c r="K19">
        <v>2</v>
      </c>
      <c r="L19" s="1">
        <f t="shared" si="0"/>
        <v>1.6709115693905501</v>
      </c>
      <c r="M19">
        <f t="shared" si="1"/>
        <v>0.66832731770965703</v>
      </c>
    </row>
    <row r="20" spans="1:13">
      <c r="A20">
        <v>2012</v>
      </c>
      <c r="B20">
        <v>6</v>
      </c>
      <c r="C20">
        <v>21</v>
      </c>
      <c r="D20">
        <v>22</v>
      </c>
      <c r="E20">
        <v>95.08</v>
      </c>
      <c r="F20">
        <v>1.88</v>
      </c>
      <c r="G20">
        <v>1.04</v>
      </c>
      <c r="H20">
        <v>0.6</v>
      </c>
      <c r="I20">
        <v>0.71</v>
      </c>
      <c r="J20">
        <v>0.76</v>
      </c>
      <c r="K20">
        <v>0</v>
      </c>
      <c r="L20" s="1">
        <f t="shared" si="0"/>
        <v>0.96489278256956501</v>
      </c>
      <c r="M20">
        <f t="shared" si="1"/>
        <v>0.644468168030773</v>
      </c>
    </row>
    <row r="21" spans="1:13">
      <c r="A21">
        <v>2012</v>
      </c>
      <c r="B21">
        <v>6</v>
      </c>
      <c r="C21">
        <v>21</v>
      </c>
      <c r="D21">
        <v>23</v>
      </c>
      <c r="E21">
        <v>95.9</v>
      </c>
      <c r="F21">
        <v>0</v>
      </c>
      <c r="G21">
        <v>0</v>
      </c>
      <c r="H21">
        <v>0</v>
      </c>
      <c r="I21">
        <v>0</v>
      </c>
      <c r="J21">
        <v>0</v>
      </c>
      <c r="K21">
        <v>0.5</v>
      </c>
      <c r="L21" s="1">
        <f t="shared" si="0"/>
        <v>6.8119642188068E-2</v>
      </c>
      <c r="M21">
        <f t="shared" si="1"/>
        <v>0.65002626539914898</v>
      </c>
    </row>
    <row r="22" spans="1:13">
      <c r="A22">
        <v>2012</v>
      </c>
      <c r="B22">
        <v>6</v>
      </c>
      <c r="C22">
        <v>22</v>
      </c>
      <c r="D22">
        <v>0</v>
      </c>
      <c r="E22">
        <v>106.04</v>
      </c>
      <c r="F22">
        <v>0.5</v>
      </c>
      <c r="G22">
        <v>0</v>
      </c>
      <c r="H22">
        <v>0</v>
      </c>
      <c r="I22">
        <v>0</v>
      </c>
      <c r="J22">
        <v>0</v>
      </c>
      <c r="K22">
        <v>0</v>
      </c>
      <c r="L22" s="1">
        <f t="shared" si="0"/>
        <v>0.114033254442995</v>
      </c>
      <c r="M22">
        <f t="shared" si="1"/>
        <v>0.71875688407639005</v>
      </c>
    </row>
    <row r="23" spans="1:13">
      <c r="A23">
        <v>2012</v>
      </c>
      <c r="B23">
        <v>6</v>
      </c>
      <c r="C23">
        <v>22</v>
      </c>
      <c r="D23">
        <v>1</v>
      </c>
      <c r="E23">
        <v>111</v>
      </c>
      <c r="F23">
        <v>0</v>
      </c>
      <c r="G23">
        <v>0</v>
      </c>
      <c r="H23">
        <v>0.5</v>
      </c>
      <c r="I23">
        <v>0</v>
      </c>
      <c r="J23">
        <v>0.5</v>
      </c>
      <c r="K23">
        <v>0</v>
      </c>
      <c r="L23" s="1">
        <f t="shared" si="0"/>
        <v>0.10162544222835999</v>
      </c>
      <c r="M23">
        <f t="shared" si="1"/>
        <v>0.75237659498754506</v>
      </c>
    </row>
    <row r="24" spans="1:13">
      <c r="A24">
        <v>2012</v>
      </c>
      <c r="B24">
        <v>6</v>
      </c>
      <c r="C24">
        <v>22</v>
      </c>
      <c r="D24">
        <v>2</v>
      </c>
      <c r="E24">
        <v>94.57</v>
      </c>
      <c r="F24">
        <v>0</v>
      </c>
      <c r="G24">
        <v>0</v>
      </c>
      <c r="H24">
        <v>0</v>
      </c>
      <c r="I24">
        <v>0</v>
      </c>
      <c r="J24">
        <v>0</v>
      </c>
      <c r="K24">
        <v>0.67</v>
      </c>
      <c r="L24" s="1">
        <f t="shared" si="0"/>
        <v>9.12803205320111E-2</v>
      </c>
      <c r="M24">
        <f t="shared" si="1"/>
        <v>0.64101130259434402</v>
      </c>
    </row>
    <row r="25" spans="1:13">
      <c r="A25">
        <v>2012</v>
      </c>
      <c r="B25">
        <v>6</v>
      </c>
      <c r="C25">
        <v>22</v>
      </c>
      <c r="D25">
        <v>3</v>
      </c>
      <c r="E25">
        <v>62.6</v>
      </c>
      <c r="F25">
        <v>5</v>
      </c>
      <c r="G25">
        <v>1</v>
      </c>
      <c r="H25">
        <v>0</v>
      </c>
      <c r="I25">
        <v>0.5</v>
      </c>
      <c r="J25">
        <v>0</v>
      </c>
      <c r="K25">
        <v>1.33</v>
      </c>
      <c r="L25" s="1">
        <f t="shared" si="0"/>
        <v>1.68838404720617</v>
      </c>
      <c r="M25">
        <f t="shared" si="1"/>
        <v>0.424313286902886</v>
      </c>
    </row>
    <row r="26" spans="1:13">
      <c r="A26">
        <v>2012</v>
      </c>
      <c r="B26">
        <v>6</v>
      </c>
      <c r="C26">
        <v>22</v>
      </c>
      <c r="D26">
        <v>4</v>
      </c>
      <c r="E26">
        <v>60.17</v>
      </c>
      <c r="F26">
        <v>0</v>
      </c>
      <c r="G26">
        <v>0</v>
      </c>
      <c r="H26">
        <v>0.75</v>
      </c>
      <c r="I26">
        <v>0</v>
      </c>
      <c r="J26">
        <v>0</v>
      </c>
      <c r="K26">
        <v>0</v>
      </c>
      <c r="L26" s="1">
        <f t="shared" si="0"/>
        <v>0.11622439123582901</v>
      </c>
      <c r="M26">
        <f t="shared" si="1"/>
        <v>0.40784233982342899</v>
      </c>
    </row>
    <row r="27" spans="1:13">
      <c r="A27">
        <v>2012</v>
      </c>
      <c r="B27">
        <v>6</v>
      </c>
      <c r="C27">
        <v>22</v>
      </c>
      <c r="D27">
        <v>5</v>
      </c>
      <c r="E27">
        <v>75.55</v>
      </c>
      <c r="F27">
        <v>0.5</v>
      </c>
      <c r="G27">
        <v>0.5</v>
      </c>
      <c r="H27">
        <v>1.5</v>
      </c>
      <c r="I27">
        <v>0.67</v>
      </c>
      <c r="J27">
        <v>0.5</v>
      </c>
      <c r="K27">
        <v>1</v>
      </c>
      <c r="L27" s="1">
        <f t="shared" si="0"/>
        <v>0.74538612019573902</v>
      </c>
      <c r="M27">
        <f t="shared" si="1"/>
        <v>0.51209055631809897</v>
      </c>
    </row>
    <row r="28" spans="1:13">
      <c r="A28">
        <v>2012</v>
      </c>
      <c r="B28">
        <v>6</v>
      </c>
      <c r="C28">
        <v>22</v>
      </c>
      <c r="D28">
        <v>6</v>
      </c>
      <c r="E28">
        <v>92.6</v>
      </c>
      <c r="F28">
        <v>0</v>
      </c>
      <c r="G28">
        <v>1</v>
      </c>
      <c r="H28">
        <v>2.25</v>
      </c>
      <c r="I28">
        <v>1.33</v>
      </c>
      <c r="J28">
        <v>3</v>
      </c>
      <c r="K28">
        <v>3</v>
      </c>
      <c r="L28" s="1">
        <f t="shared" si="0"/>
        <v>1.3779788822425201</v>
      </c>
      <c r="M28">
        <f t="shared" si="1"/>
        <v>0.627658312575195</v>
      </c>
    </row>
    <row r="29" spans="1:13">
      <c r="A29">
        <v>2012</v>
      </c>
      <c r="B29">
        <v>6</v>
      </c>
      <c r="C29">
        <v>22</v>
      </c>
      <c r="D29">
        <v>7</v>
      </c>
      <c r="E29">
        <v>91.95</v>
      </c>
      <c r="F29">
        <v>0.5</v>
      </c>
      <c r="G29">
        <v>3.5</v>
      </c>
      <c r="H29">
        <v>7.5</v>
      </c>
      <c r="I29">
        <v>0</v>
      </c>
      <c r="J29">
        <v>4</v>
      </c>
      <c r="K29">
        <v>0</v>
      </c>
      <c r="L29" s="1">
        <f t="shared" si="0"/>
        <v>2.5238384386114601</v>
      </c>
      <c r="M29">
        <f t="shared" si="1"/>
        <v>0.62325250368562901</v>
      </c>
    </row>
    <row r="30" spans="1:13">
      <c r="A30">
        <v>2012</v>
      </c>
      <c r="B30">
        <v>6</v>
      </c>
      <c r="C30">
        <v>22</v>
      </c>
      <c r="D30">
        <v>8</v>
      </c>
      <c r="E30">
        <v>71.8</v>
      </c>
      <c r="F30">
        <v>4</v>
      </c>
      <c r="G30">
        <v>10</v>
      </c>
      <c r="H30">
        <v>8</v>
      </c>
      <c r="I30">
        <v>13.5</v>
      </c>
      <c r="J30">
        <v>15</v>
      </c>
      <c r="K30">
        <v>11.5</v>
      </c>
      <c r="L30" s="1">
        <f t="shared" si="0"/>
        <v>9.2265837847404697</v>
      </c>
      <c r="M30">
        <f t="shared" si="1"/>
        <v>0.48667242810906097</v>
      </c>
    </row>
    <row r="31" spans="1:13">
      <c r="A31">
        <v>2012</v>
      </c>
      <c r="B31">
        <v>6</v>
      </c>
      <c r="C31">
        <v>22</v>
      </c>
      <c r="D31">
        <v>9</v>
      </c>
      <c r="E31">
        <v>129.03</v>
      </c>
      <c r="F31">
        <v>1.1599999999999999</v>
      </c>
      <c r="G31">
        <v>8.5</v>
      </c>
      <c r="H31">
        <v>3</v>
      </c>
      <c r="I31">
        <v>16</v>
      </c>
      <c r="J31">
        <v>12</v>
      </c>
      <c r="K31">
        <v>19.5</v>
      </c>
      <c r="L31" s="1">
        <f t="shared" si="0"/>
        <v>8.6251603695607706</v>
      </c>
      <c r="M31">
        <f t="shared" si="1"/>
        <v>0.87458695541660303</v>
      </c>
    </row>
    <row r="32" spans="1:13">
      <c r="A32">
        <v>2012</v>
      </c>
      <c r="B32">
        <v>6</v>
      </c>
      <c r="C32">
        <v>22</v>
      </c>
      <c r="D32">
        <v>10</v>
      </c>
      <c r="E32">
        <v>166.08</v>
      </c>
      <c r="F32">
        <v>1.33</v>
      </c>
      <c r="G32">
        <v>3.5</v>
      </c>
      <c r="H32">
        <v>29</v>
      </c>
      <c r="I32">
        <v>4.5</v>
      </c>
      <c r="J32">
        <v>8</v>
      </c>
      <c r="K32">
        <v>2.5</v>
      </c>
      <c r="L32" s="1">
        <f t="shared" si="0"/>
        <v>7.1689484614501202</v>
      </c>
      <c r="M32">
        <f t="shared" si="1"/>
        <v>1.1257180621219101</v>
      </c>
    </row>
    <row r="33" spans="1:13">
      <c r="A33">
        <v>2012</v>
      </c>
      <c r="B33">
        <v>6</v>
      </c>
      <c r="C33">
        <v>22</v>
      </c>
      <c r="D33">
        <v>11</v>
      </c>
      <c r="E33">
        <v>191</v>
      </c>
      <c r="F33">
        <v>1.5</v>
      </c>
      <c r="G33">
        <v>9</v>
      </c>
      <c r="H33">
        <v>15.5</v>
      </c>
      <c r="I33">
        <v>10.5</v>
      </c>
      <c r="J33">
        <v>18</v>
      </c>
      <c r="K33">
        <v>10.5</v>
      </c>
      <c r="L33" s="1">
        <f t="shared" si="0"/>
        <v>9.1324736357525804</v>
      </c>
      <c r="M33">
        <f t="shared" si="1"/>
        <v>1.2946299967803701</v>
      </c>
    </row>
    <row r="34" spans="1:13">
      <c r="A34">
        <v>2012</v>
      </c>
      <c r="B34">
        <v>6</v>
      </c>
      <c r="C34">
        <v>22</v>
      </c>
      <c r="D34">
        <v>12</v>
      </c>
      <c r="E34">
        <v>305.77999999999997</v>
      </c>
      <c r="F34">
        <v>1.67</v>
      </c>
      <c r="G34">
        <v>1</v>
      </c>
      <c r="H34">
        <v>7</v>
      </c>
      <c r="I34">
        <v>1.5</v>
      </c>
      <c r="J34">
        <v>7</v>
      </c>
      <c r="K34">
        <v>2.5</v>
      </c>
      <c r="L34" s="1">
        <f t="shared" si="0"/>
        <v>2.64225886198333</v>
      </c>
      <c r="M34">
        <f t="shared" si="1"/>
        <v>2.0726280650026299</v>
      </c>
    </row>
    <row r="35" spans="1:13">
      <c r="A35">
        <v>2012</v>
      </c>
      <c r="B35">
        <v>6</v>
      </c>
      <c r="C35">
        <v>22</v>
      </c>
      <c r="D35">
        <v>13</v>
      </c>
      <c r="E35">
        <v>149</v>
      </c>
      <c r="F35">
        <v>1.84</v>
      </c>
      <c r="G35">
        <v>10.5</v>
      </c>
      <c r="H35">
        <v>4.5</v>
      </c>
      <c r="I35">
        <v>6.5</v>
      </c>
      <c r="J35">
        <v>8</v>
      </c>
      <c r="K35">
        <v>0</v>
      </c>
      <c r="L35" s="1">
        <f t="shared" si="0"/>
        <v>5.5192033017207196</v>
      </c>
      <c r="M35">
        <f t="shared" si="1"/>
        <v>1.00994696083914</v>
      </c>
    </row>
    <row r="36" spans="1:13">
      <c r="A36">
        <v>2012</v>
      </c>
      <c r="B36">
        <v>6</v>
      </c>
      <c r="C36">
        <v>22</v>
      </c>
      <c r="D36">
        <v>14</v>
      </c>
      <c r="E36">
        <v>211.13</v>
      </c>
      <c r="F36">
        <v>0</v>
      </c>
      <c r="G36">
        <v>1.37</v>
      </c>
      <c r="H36">
        <v>6.5</v>
      </c>
      <c r="I36">
        <v>3</v>
      </c>
      <c r="J36">
        <v>3</v>
      </c>
      <c r="K36">
        <v>1.5</v>
      </c>
      <c r="L36" s="1">
        <f t="shared" si="0"/>
        <v>2.1627630446775399</v>
      </c>
      <c r="M36">
        <f t="shared" si="1"/>
        <v>1.43107450900649</v>
      </c>
    </row>
    <row r="37" spans="1:13">
      <c r="A37">
        <v>2012</v>
      </c>
      <c r="B37">
        <v>6</v>
      </c>
      <c r="C37">
        <v>22</v>
      </c>
      <c r="D37">
        <v>15</v>
      </c>
      <c r="E37">
        <v>225.44</v>
      </c>
      <c r="F37">
        <v>2.5</v>
      </c>
      <c r="G37">
        <v>1.29</v>
      </c>
      <c r="H37">
        <v>1.7</v>
      </c>
      <c r="I37">
        <v>0.86</v>
      </c>
      <c r="J37">
        <v>0.77</v>
      </c>
      <c r="K37">
        <v>0</v>
      </c>
      <c r="L37" s="1">
        <f t="shared" ref="L37:L68" si="2">F37*$F$2+G37*$G$2+H37*$H$2+I37*$I$2+J37*$J$2+K37*$K$2</f>
        <v>1.3722321258781001</v>
      </c>
      <c r="M37">
        <f t="shared" ref="M37:M68" si="3">E37*3600/(1000*$L$1)</f>
        <v>1.5280700862521801</v>
      </c>
    </row>
    <row r="38" spans="1:13">
      <c r="A38">
        <v>2012</v>
      </c>
      <c r="B38">
        <v>6</v>
      </c>
      <c r="C38">
        <v>22</v>
      </c>
      <c r="D38">
        <v>16</v>
      </c>
      <c r="E38">
        <v>199.84</v>
      </c>
      <c r="F38">
        <v>3</v>
      </c>
      <c r="G38">
        <v>1.21</v>
      </c>
      <c r="H38">
        <v>1.73</v>
      </c>
      <c r="I38">
        <v>0.98</v>
      </c>
      <c r="J38">
        <v>0.9</v>
      </c>
      <c r="K38">
        <v>0.45</v>
      </c>
      <c r="L38" s="1">
        <f t="shared" si="2"/>
        <v>1.5501396490792001</v>
      </c>
      <c r="M38">
        <f t="shared" si="3"/>
        <v>1.3545489976784799</v>
      </c>
    </row>
    <row r="39" spans="1:13">
      <c r="A39">
        <v>2012</v>
      </c>
      <c r="B39">
        <v>6</v>
      </c>
      <c r="C39">
        <v>22</v>
      </c>
      <c r="D39">
        <v>17</v>
      </c>
      <c r="E39">
        <v>163.77000000000001</v>
      </c>
      <c r="F39">
        <v>1.21</v>
      </c>
      <c r="G39">
        <v>1.1299999999999999</v>
      </c>
      <c r="H39">
        <v>1.77</v>
      </c>
      <c r="I39">
        <v>1.1000000000000001</v>
      </c>
      <c r="J39">
        <v>1.02</v>
      </c>
      <c r="K39">
        <v>0.9</v>
      </c>
      <c r="L39" s="1">
        <f t="shared" si="2"/>
        <v>1.2068416751864499</v>
      </c>
      <c r="M39">
        <f t="shared" si="3"/>
        <v>1.11006049514514</v>
      </c>
    </row>
    <row r="40" spans="1:13">
      <c r="A40">
        <v>2012</v>
      </c>
      <c r="B40">
        <v>6</v>
      </c>
      <c r="C40">
        <v>22</v>
      </c>
      <c r="D40">
        <v>18</v>
      </c>
      <c r="E40">
        <v>130</v>
      </c>
      <c r="F40">
        <v>1.33</v>
      </c>
      <c r="G40">
        <v>1.05</v>
      </c>
      <c r="H40">
        <v>1.8</v>
      </c>
      <c r="I40">
        <v>1.22</v>
      </c>
      <c r="J40">
        <v>1.1499999999999999</v>
      </c>
      <c r="K40">
        <v>1.35</v>
      </c>
      <c r="L40" s="1">
        <f t="shared" si="2"/>
        <v>1.29808392501087</v>
      </c>
      <c r="M40">
        <f t="shared" si="3"/>
        <v>0.88116177791334105</v>
      </c>
    </row>
    <row r="41" spans="1:13">
      <c r="A41">
        <v>2012</v>
      </c>
      <c r="B41">
        <v>6</v>
      </c>
      <c r="C41">
        <v>22</v>
      </c>
      <c r="D41">
        <v>19</v>
      </c>
      <c r="E41">
        <v>139</v>
      </c>
      <c r="F41">
        <v>1.45</v>
      </c>
      <c r="G41">
        <v>0.97</v>
      </c>
      <c r="H41">
        <v>7</v>
      </c>
      <c r="I41">
        <v>1.34</v>
      </c>
      <c r="J41">
        <v>1.27</v>
      </c>
      <c r="K41">
        <v>1.8</v>
      </c>
      <c r="L41" s="1">
        <f t="shared" si="2"/>
        <v>2.1900167947928599</v>
      </c>
      <c r="M41">
        <f t="shared" si="3"/>
        <v>0.94216528561503399</v>
      </c>
    </row>
    <row r="42" spans="1:13">
      <c r="A42">
        <v>2012</v>
      </c>
      <c r="B42">
        <v>6</v>
      </c>
      <c r="C42">
        <v>22</v>
      </c>
      <c r="D42">
        <v>20</v>
      </c>
      <c r="E42">
        <v>161.30000000000001</v>
      </c>
      <c r="F42">
        <v>0</v>
      </c>
      <c r="G42">
        <v>0</v>
      </c>
      <c r="H42">
        <v>1.5</v>
      </c>
      <c r="I42">
        <v>0</v>
      </c>
      <c r="J42">
        <v>1.4</v>
      </c>
      <c r="K42">
        <v>0</v>
      </c>
      <c r="L42" s="1">
        <f t="shared" si="2"/>
        <v>0.30004782373751898</v>
      </c>
      <c r="M42">
        <f t="shared" si="3"/>
        <v>1.09331842136478</v>
      </c>
    </row>
    <row r="43" spans="1:13">
      <c r="A43">
        <v>2012</v>
      </c>
      <c r="B43">
        <v>6</v>
      </c>
      <c r="C43">
        <v>22</v>
      </c>
      <c r="D43">
        <v>21</v>
      </c>
      <c r="E43">
        <v>139.15</v>
      </c>
      <c r="F43">
        <v>0.5</v>
      </c>
      <c r="G43">
        <v>0.5</v>
      </c>
      <c r="H43">
        <v>0</v>
      </c>
      <c r="I43">
        <v>0.33</v>
      </c>
      <c r="J43">
        <v>0</v>
      </c>
      <c r="K43">
        <v>0</v>
      </c>
      <c r="L43" s="1">
        <f t="shared" si="2"/>
        <v>0.30795429255700701</v>
      </c>
      <c r="M43">
        <f t="shared" si="3"/>
        <v>0.94318201074339503</v>
      </c>
    </row>
    <row r="44" spans="1:13">
      <c r="A44">
        <v>2012</v>
      </c>
      <c r="B44">
        <v>6</v>
      </c>
      <c r="C44">
        <v>22</v>
      </c>
      <c r="D44">
        <v>22</v>
      </c>
      <c r="E44">
        <v>10.52</v>
      </c>
      <c r="F44">
        <v>0</v>
      </c>
      <c r="G44">
        <v>0</v>
      </c>
      <c r="H44">
        <v>0.5</v>
      </c>
      <c r="I44">
        <v>0.67</v>
      </c>
      <c r="J44">
        <v>0.5</v>
      </c>
      <c r="K44">
        <v>0.5</v>
      </c>
      <c r="L44" s="1">
        <f t="shared" si="2"/>
        <v>0.25763577516818398</v>
      </c>
      <c r="M44">
        <f t="shared" si="3"/>
        <v>7.1306322335756497E-2</v>
      </c>
    </row>
    <row r="45" spans="1:13">
      <c r="A45">
        <v>2012</v>
      </c>
      <c r="B45">
        <v>6</v>
      </c>
      <c r="C45">
        <v>22</v>
      </c>
      <c r="D45">
        <v>23</v>
      </c>
      <c r="E45">
        <v>-13.55</v>
      </c>
      <c r="F45">
        <v>0.5</v>
      </c>
      <c r="G45">
        <v>0</v>
      </c>
      <c r="H45">
        <v>0</v>
      </c>
      <c r="I45">
        <v>0</v>
      </c>
      <c r="J45">
        <v>0</v>
      </c>
      <c r="K45">
        <v>0</v>
      </c>
      <c r="L45" s="1">
        <f t="shared" si="2"/>
        <v>0.114033254442995</v>
      </c>
      <c r="M45">
        <f t="shared" si="3"/>
        <v>-9.1844169928659805E-2</v>
      </c>
    </row>
    <row r="46" spans="1:13">
      <c r="A46">
        <v>2012</v>
      </c>
      <c r="B46">
        <v>6</v>
      </c>
      <c r="C46">
        <v>23</v>
      </c>
      <c r="D46">
        <v>0</v>
      </c>
      <c r="E46">
        <v>36.020000000000003</v>
      </c>
      <c r="F46">
        <v>1</v>
      </c>
      <c r="G46">
        <v>8.5</v>
      </c>
      <c r="H46">
        <v>0.33</v>
      </c>
      <c r="I46">
        <v>3.5</v>
      </c>
      <c r="J46">
        <v>0</v>
      </c>
      <c r="K46">
        <v>1</v>
      </c>
      <c r="L46" s="1">
        <f t="shared" si="2"/>
        <v>3.4353120875437999</v>
      </c>
      <c r="M46">
        <f t="shared" si="3"/>
        <v>0.24414959415722001</v>
      </c>
    </row>
    <row r="47" spans="1:13">
      <c r="A47">
        <v>2012</v>
      </c>
      <c r="B47">
        <v>6</v>
      </c>
      <c r="C47">
        <v>23</v>
      </c>
      <c r="D47">
        <v>1</v>
      </c>
      <c r="E47">
        <v>100.86</v>
      </c>
      <c r="F47">
        <v>1.5</v>
      </c>
      <c r="G47">
        <v>7</v>
      </c>
      <c r="H47">
        <v>0.67</v>
      </c>
      <c r="I47">
        <v>10.5</v>
      </c>
      <c r="J47">
        <v>5</v>
      </c>
      <c r="K47">
        <v>10.5</v>
      </c>
      <c r="L47" s="1">
        <f t="shared" si="2"/>
        <v>5.6040982495382403</v>
      </c>
      <c r="M47">
        <f t="shared" si="3"/>
        <v>0.68364597631030499</v>
      </c>
    </row>
    <row r="48" spans="1:13">
      <c r="A48">
        <v>2012</v>
      </c>
      <c r="B48">
        <v>6</v>
      </c>
      <c r="C48">
        <v>23</v>
      </c>
      <c r="D48">
        <v>2</v>
      </c>
      <c r="E48">
        <v>126.28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1">
        <f t="shared" si="2"/>
        <v>0</v>
      </c>
      <c r="M48">
        <f t="shared" si="3"/>
        <v>0.85594699472997504</v>
      </c>
    </row>
    <row r="49" spans="1:13">
      <c r="A49">
        <v>2012</v>
      </c>
      <c r="B49">
        <v>6</v>
      </c>
      <c r="C49">
        <v>23</v>
      </c>
      <c r="D49">
        <v>3</v>
      </c>
      <c r="E49">
        <v>112.58</v>
      </c>
      <c r="F49">
        <v>0</v>
      </c>
      <c r="G49">
        <v>0</v>
      </c>
      <c r="H49">
        <v>1.5</v>
      </c>
      <c r="I49">
        <v>0</v>
      </c>
      <c r="J49">
        <v>0</v>
      </c>
      <c r="K49">
        <v>0.5</v>
      </c>
      <c r="L49" s="1">
        <f t="shared" si="2"/>
        <v>0.300568424659727</v>
      </c>
      <c r="M49">
        <f t="shared" si="3"/>
        <v>0.76308609967295304</v>
      </c>
    </row>
    <row r="50" spans="1:13">
      <c r="A50">
        <v>2012</v>
      </c>
      <c r="B50">
        <v>6</v>
      </c>
      <c r="C50">
        <v>23</v>
      </c>
      <c r="D50">
        <v>4</v>
      </c>
      <c r="E50">
        <v>101.41</v>
      </c>
      <c r="F50">
        <v>0.5</v>
      </c>
      <c r="G50">
        <v>0.83</v>
      </c>
      <c r="H50">
        <v>8</v>
      </c>
      <c r="I50">
        <v>0.5</v>
      </c>
      <c r="J50">
        <v>1</v>
      </c>
      <c r="K50">
        <v>0</v>
      </c>
      <c r="L50" s="1">
        <f t="shared" si="2"/>
        <v>1.7176836365621899</v>
      </c>
      <c r="M50">
        <f t="shared" si="3"/>
        <v>0.68737396844762999</v>
      </c>
    </row>
    <row r="51" spans="1:13">
      <c r="A51">
        <v>2012</v>
      </c>
      <c r="B51">
        <v>6</v>
      </c>
      <c r="C51">
        <v>23</v>
      </c>
      <c r="D51">
        <v>5</v>
      </c>
      <c r="E51">
        <v>107</v>
      </c>
      <c r="F51">
        <v>0</v>
      </c>
      <c r="G51">
        <v>1.67</v>
      </c>
      <c r="H51">
        <v>18</v>
      </c>
      <c r="I51">
        <v>3</v>
      </c>
      <c r="J51">
        <v>5.5</v>
      </c>
      <c r="K51">
        <v>0.83</v>
      </c>
      <c r="L51" s="1">
        <f t="shared" si="2"/>
        <v>4.06468158616652</v>
      </c>
      <c r="M51">
        <f t="shared" si="3"/>
        <v>0.72526392489790403</v>
      </c>
    </row>
    <row r="52" spans="1:13">
      <c r="A52">
        <v>2012</v>
      </c>
      <c r="B52">
        <v>6</v>
      </c>
      <c r="C52">
        <v>23</v>
      </c>
      <c r="D52">
        <v>6</v>
      </c>
      <c r="E52">
        <v>117.04</v>
      </c>
      <c r="F52">
        <v>0.5</v>
      </c>
      <c r="G52">
        <v>9.5</v>
      </c>
      <c r="H52">
        <v>12.5</v>
      </c>
      <c r="I52">
        <v>1.5</v>
      </c>
      <c r="J52">
        <v>17</v>
      </c>
      <c r="K52">
        <v>1.67</v>
      </c>
      <c r="L52" s="1">
        <f t="shared" si="2"/>
        <v>6.1582420257683399</v>
      </c>
      <c r="M52">
        <f t="shared" si="3"/>
        <v>0.793316726822903</v>
      </c>
    </row>
    <row r="53" spans="1:13">
      <c r="A53">
        <v>2012</v>
      </c>
      <c r="B53">
        <v>6</v>
      </c>
      <c r="C53">
        <v>23</v>
      </c>
      <c r="D53">
        <v>7</v>
      </c>
      <c r="E53">
        <v>333.35</v>
      </c>
      <c r="F53">
        <v>8.5</v>
      </c>
      <c r="G53">
        <v>27</v>
      </c>
      <c r="H53">
        <v>30.5</v>
      </c>
      <c r="I53">
        <v>33.5</v>
      </c>
      <c r="J53">
        <v>29</v>
      </c>
      <c r="K53">
        <v>16</v>
      </c>
      <c r="L53" s="1">
        <f t="shared" si="2"/>
        <v>22.773758889284299</v>
      </c>
      <c r="M53">
        <f t="shared" si="3"/>
        <v>2.2595021435954799</v>
      </c>
    </row>
    <row r="54" spans="1:13">
      <c r="A54">
        <v>2012</v>
      </c>
      <c r="B54">
        <v>6</v>
      </c>
      <c r="C54">
        <v>23</v>
      </c>
      <c r="D54">
        <v>8</v>
      </c>
      <c r="E54">
        <v>520</v>
      </c>
      <c r="F54">
        <v>8</v>
      </c>
      <c r="G54">
        <v>9.5</v>
      </c>
      <c r="H54">
        <v>19</v>
      </c>
      <c r="I54">
        <v>10</v>
      </c>
      <c r="J54">
        <v>23.5</v>
      </c>
      <c r="K54">
        <v>7.5</v>
      </c>
      <c r="L54" s="1">
        <f t="shared" si="2"/>
        <v>11.099177770623101</v>
      </c>
      <c r="M54">
        <f t="shared" si="3"/>
        <v>3.5246471116533602</v>
      </c>
    </row>
    <row r="55" spans="1:13">
      <c r="A55">
        <v>2012</v>
      </c>
      <c r="B55">
        <v>6</v>
      </c>
      <c r="C55">
        <v>23</v>
      </c>
      <c r="D55">
        <v>9</v>
      </c>
      <c r="E55">
        <v>547.83000000000004</v>
      </c>
      <c r="F55">
        <v>5.5</v>
      </c>
      <c r="G55">
        <v>3</v>
      </c>
      <c r="H55">
        <v>16.5</v>
      </c>
      <c r="I55">
        <v>4.5</v>
      </c>
      <c r="J55">
        <v>14.5</v>
      </c>
      <c r="K55">
        <v>6.5</v>
      </c>
      <c r="L55" s="1">
        <f t="shared" si="2"/>
        <v>6.8910908519215202</v>
      </c>
      <c r="M55">
        <f t="shared" si="3"/>
        <v>3.7132835138020401</v>
      </c>
    </row>
    <row r="56" spans="1:13">
      <c r="A56">
        <v>2012</v>
      </c>
      <c r="B56">
        <v>6</v>
      </c>
      <c r="C56">
        <v>23</v>
      </c>
      <c r="D56">
        <v>10</v>
      </c>
      <c r="E56">
        <v>532</v>
      </c>
      <c r="F56">
        <v>5</v>
      </c>
      <c r="G56">
        <v>11.5</v>
      </c>
      <c r="H56">
        <v>30.5</v>
      </c>
      <c r="I56">
        <v>10</v>
      </c>
      <c r="J56">
        <v>18</v>
      </c>
      <c r="K56">
        <v>4</v>
      </c>
      <c r="L56" s="1">
        <f t="shared" si="2"/>
        <v>12.057206792477</v>
      </c>
      <c r="M56">
        <f t="shared" si="3"/>
        <v>3.60598512192229</v>
      </c>
    </row>
    <row r="57" spans="1:13">
      <c r="A57">
        <v>2012</v>
      </c>
      <c r="B57">
        <v>6</v>
      </c>
      <c r="C57">
        <v>23</v>
      </c>
      <c r="D57">
        <v>11</v>
      </c>
      <c r="E57">
        <v>607.1</v>
      </c>
      <c r="F57">
        <v>3</v>
      </c>
      <c r="G57">
        <v>18</v>
      </c>
      <c r="H57">
        <v>42</v>
      </c>
      <c r="I57">
        <v>27</v>
      </c>
      <c r="J57">
        <v>21</v>
      </c>
      <c r="K57">
        <v>22</v>
      </c>
      <c r="L57" s="1">
        <f t="shared" si="2"/>
        <v>20.168616331241498</v>
      </c>
      <c r="M57">
        <f t="shared" si="3"/>
        <v>4.1150255028552998</v>
      </c>
    </row>
    <row r="58" spans="1:13">
      <c r="A58">
        <v>2012</v>
      </c>
      <c r="B58">
        <v>6</v>
      </c>
      <c r="C58">
        <v>23</v>
      </c>
      <c r="D58">
        <v>12</v>
      </c>
      <c r="E58">
        <v>712.58</v>
      </c>
      <c r="F58">
        <v>0</v>
      </c>
      <c r="G58">
        <v>0</v>
      </c>
      <c r="H58">
        <v>16</v>
      </c>
      <c r="I58">
        <v>0</v>
      </c>
      <c r="J58">
        <v>4.5</v>
      </c>
      <c r="K58">
        <v>0.5</v>
      </c>
      <c r="L58" s="1">
        <f t="shared" si="2"/>
        <v>2.7648559545260301</v>
      </c>
      <c r="M58">
        <f t="shared" si="3"/>
        <v>4.8299866131191402</v>
      </c>
    </row>
    <row r="59" spans="1:13">
      <c r="A59">
        <v>2012</v>
      </c>
      <c r="B59">
        <v>6</v>
      </c>
      <c r="C59">
        <v>23</v>
      </c>
      <c r="D59">
        <v>13</v>
      </c>
      <c r="E59">
        <v>710.12</v>
      </c>
      <c r="F59">
        <v>0</v>
      </c>
      <c r="G59">
        <v>1.5</v>
      </c>
      <c r="H59">
        <v>25</v>
      </c>
      <c r="I59">
        <v>1</v>
      </c>
      <c r="J59">
        <v>1</v>
      </c>
      <c r="K59">
        <v>0</v>
      </c>
      <c r="L59" s="1">
        <f t="shared" si="2"/>
        <v>4.5055063196998102</v>
      </c>
      <c r="M59">
        <f t="shared" si="3"/>
        <v>4.8133123210140099</v>
      </c>
    </row>
    <row r="60" spans="1:13">
      <c r="A60">
        <v>2012</v>
      </c>
      <c r="B60">
        <v>6</v>
      </c>
      <c r="C60">
        <v>23</v>
      </c>
      <c r="D60">
        <v>14</v>
      </c>
      <c r="E60">
        <v>635.83000000000004</v>
      </c>
      <c r="F60">
        <v>14.5</v>
      </c>
      <c r="G60">
        <v>5</v>
      </c>
      <c r="H60">
        <v>12</v>
      </c>
      <c r="I60">
        <v>5</v>
      </c>
      <c r="J60">
        <v>10.5</v>
      </c>
      <c r="K60">
        <v>7</v>
      </c>
      <c r="L60" s="1">
        <f t="shared" si="2"/>
        <v>8.7894390501527901</v>
      </c>
      <c r="M60">
        <f t="shared" si="3"/>
        <v>4.3097622557741504</v>
      </c>
    </row>
    <row r="61" spans="1:13">
      <c r="A61">
        <v>2012</v>
      </c>
      <c r="B61">
        <v>6</v>
      </c>
      <c r="C61">
        <v>23</v>
      </c>
      <c r="D61">
        <v>15</v>
      </c>
      <c r="E61">
        <v>561.34</v>
      </c>
      <c r="F61">
        <v>0.5</v>
      </c>
      <c r="G61">
        <v>0</v>
      </c>
      <c r="H61">
        <v>1</v>
      </c>
      <c r="I61">
        <v>0.75</v>
      </c>
      <c r="J61">
        <v>1</v>
      </c>
      <c r="K61">
        <v>0.8</v>
      </c>
      <c r="L61" s="1">
        <f t="shared" si="2"/>
        <v>0.52466066798841005</v>
      </c>
      <c r="M61">
        <f t="shared" si="3"/>
        <v>3.8048565570298098</v>
      </c>
    </row>
    <row r="62" spans="1:13">
      <c r="A62">
        <v>2012</v>
      </c>
      <c r="B62">
        <v>6</v>
      </c>
      <c r="C62">
        <v>23</v>
      </c>
      <c r="D62">
        <v>16</v>
      </c>
      <c r="E62">
        <v>691.75</v>
      </c>
      <c r="F62">
        <v>3.5</v>
      </c>
      <c r="G62">
        <v>0.5</v>
      </c>
      <c r="H62">
        <v>0</v>
      </c>
      <c r="I62">
        <v>0.25</v>
      </c>
      <c r="J62">
        <v>0</v>
      </c>
      <c r="K62">
        <v>0.2</v>
      </c>
      <c r="L62" s="1">
        <f t="shared" si="2"/>
        <v>1.00890726525417</v>
      </c>
      <c r="M62">
        <f t="shared" si="3"/>
        <v>4.6887973836273398</v>
      </c>
    </row>
    <row r="63" spans="1:13">
      <c r="A63">
        <v>2012</v>
      </c>
      <c r="B63">
        <v>6</v>
      </c>
      <c r="C63">
        <v>23</v>
      </c>
      <c r="D63">
        <v>17</v>
      </c>
      <c r="E63">
        <v>466</v>
      </c>
      <c r="F63">
        <v>4</v>
      </c>
      <c r="G63">
        <v>3.5</v>
      </c>
      <c r="H63">
        <v>3</v>
      </c>
      <c r="I63">
        <v>3</v>
      </c>
      <c r="J63">
        <v>2.5</v>
      </c>
      <c r="K63">
        <v>3</v>
      </c>
      <c r="L63" s="1">
        <f t="shared" si="2"/>
        <v>3.3545555875635702</v>
      </c>
      <c r="M63">
        <f t="shared" si="3"/>
        <v>3.1586260654432099</v>
      </c>
    </row>
    <row r="64" spans="1:13">
      <c r="A64">
        <v>2012</v>
      </c>
      <c r="B64">
        <v>6</v>
      </c>
      <c r="C64">
        <v>23</v>
      </c>
      <c r="D64">
        <v>18</v>
      </c>
      <c r="E64">
        <v>514.52</v>
      </c>
      <c r="F64">
        <v>0.5</v>
      </c>
      <c r="G64">
        <v>1.1599999999999999</v>
      </c>
      <c r="H64">
        <v>2.0499999999999998</v>
      </c>
      <c r="I64">
        <v>2</v>
      </c>
      <c r="J64">
        <v>3</v>
      </c>
      <c r="K64">
        <v>2</v>
      </c>
      <c r="L64" s="1">
        <f t="shared" si="2"/>
        <v>1.46087248195784</v>
      </c>
      <c r="M64">
        <f t="shared" si="3"/>
        <v>3.4875027536305598</v>
      </c>
    </row>
    <row r="65" spans="1:13">
      <c r="A65">
        <v>2012</v>
      </c>
      <c r="B65">
        <v>6</v>
      </c>
      <c r="C65">
        <v>23</v>
      </c>
      <c r="D65">
        <v>19</v>
      </c>
      <c r="E65">
        <v>447.89</v>
      </c>
      <c r="F65">
        <v>0</v>
      </c>
      <c r="G65">
        <v>0.84</v>
      </c>
      <c r="H65">
        <v>2.4500000000000002</v>
      </c>
      <c r="I65">
        <v>0</v>
      </c>
      <c r="J65">
        <v>0</v>
      </c>
      <c r="K65">
        <v>0</v>
      </c>
      <c r="L65" s="1">
        <f t="shared" si="2"/>
        <v>0.63272742164156004</v>
      </c>
      <c r="M65">
        <f t="shared" si="3"/>
        <v>3.03587345161236</v>
      </c>
    </row>
    <row r="66" spans="1:13">
      <c r="A66">
        <v>2012</v>
      </c>
      <c r="B66">
        <v>6</v>
      </c>
      <c r="C66">
        <v>23</v>
      </c>
      <c r="D66">
        <v>20</v>
      </c>
      <c r="E66">
        <v>340</v>
      </c>
      <c r="F66">
        <v>2</v>
      </c>
      <c r="G66">
        <v>7</v>
      </c>
      <c r="H66">
        <v>0</v>
      </c>
      <c r="I66">
        <v>6</v>
      </c>
      <c r="J66">
        <v>1.5</v>
      </c>
      <c r="K66">
        <v>7</v>
      </c>
      <c r="L66" s="1">
        <f t="shared" si="2"/>
        <v>4.3781586731360598</v>
      </c>
      <c r="M66">
        <f t="shared" si="3"/>
        <v>2.3045769576195099</v>
      </c>
    </row>
    <row r="67" spans="1:13">
      <c r="A67">
        <v>2012</v>
      </c>
      <c r="B67">
        <v>6</v>
      </c>
      <c r="C67">
        <v>23</v>
      </c>
      <c r="D67">
        <v>21</v>
      </c>
      <c r="E67">
        <v>358.41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1">
        <f t="shared" si="2"/>
        <v>0</v>
      </c>
      <c r="M67">
        <f t="shared" si="3"/>
        <v>2.4293630217070801</v>
      </c>
    </row>
    <row r="68" spans="1:13">
      <c r="A68">
        <v>2012</v>
      </c>
      <c r="B68">
        <v>6</v>
      </c>
      <c r="C68">
        <v>23</v>
      </c>
      <c r="D68">
        <v>22</v>
      </c>
      <c r="E68">
        <v>313.45</v>
      </c>
      <c r="F68">
        <v>1.5</v>
      </c>
      <c r="G68">
        <v>0</v>
      </c>
      <c r="H68">
        <v>0.5</v>
      </c>
      <c r="I68">
        <v>0</v>
      </c>
      <c r="J68">
        <v>0</v>
      </c>
      <c r="K68">
        <v>0</v>
      </c>
      <c r="L68" s="1">
        <f t="shared" si="2"/>
        <v>0.41958269081953598</v>
      </c>
      <c r="M68">
        <f t="shared" si="3"/>
        <v>2.1246166098995101</v>
      </c>
    </row>
    <row r="69" spans="1:13">
      <c r="A69">
        <v>2012</v>
      </c>
      <c r="B69">
        <v>6</v>
      </c>
      <c r="C69">
        <v>23</v>
      </c>
      <c r="D69">
        <v>23</v>
      </c>
      <c r="E69">
        <v>226.81</v>
      </c>
      <c r="F69">
        <v>3</v>
      </c>
      <c r="G69">
        <v>4</v>
      </c>
      <c r="H69">
        <v>4</v>
      </c>
      <c r="I69">
        <v>3.5</v>
      </c>
      <c r="J69">
        <v>0</v>
      </c>
      <c r="K69">
        <v>3</v>
      </c>
      <c r="L69" s="1">
        <f t="shared" ref="L69:L100" si="4">F69*$F$2+G69*$G$2+H69*$H$2+I69*$I$2+J69*$J$2+K69*$K$2</f>
        <v>3.3769640211102301</v>
      </c>
      <c r="M69">
        <f t="shared" ref="M69:M100" si="5">E69*3600/(1000*$L$1)</f>
        <v>1.53735617575788</v>
      </c>
    </row>
    <row r="70" spans="1:13">
      <c r="A70">
        <v>2012</v>
      </c>
      <c r="B70">
        <v>6</v>
      </c>
      <c r="C70">
        <v>24</v>
      </c>
      <c r="D70">
        <v>0</v>
      </c>
      <c r="E70">
        <v>248</v>
      </c>
      <c r="F70">
        <v>1.1100000000000001</v>
      </c>
      <c r="G70">
        <v>0</v>
      </c>
      <c r="H70">
        <v>2</v>
      </c>
      <c r="I70">
        <v>1</v>
      </c>
      <c r="J70">
        <v>0</v>
      </c>
      <c r="K70">
        <v>1</v>
      </c>
      <c r="L70" s="1">
        <f t="shared" si="4"/>
        <v>0.830504954652177</v>
      </c>
      <c r="M70">
        <f t="shared" si="5"/>
        <v>1.68098554555776</v>
      </c>
    </row>
    <row r="71" spans="1:13">
      <c r="A71">
        <v>2012</v>
      </c>
      <c r="B71">
        <v>6</v>
      </c>
      <c r="C71">
        <v>24</v>
      </c>
      <c r="D71">
        <v>1</v>
      </c>
      <c r="E71">
        <v>217.79</v>
      </c>
      <c r="F71">
        <v>0.89</v>
      </c>
      <c r="G71">
        <v>0</v>
      </c>
      <c r="H71">
        <v>0</v>
      </c>
      <c r="I71">
        <v>0</v>
      </c>
      <c r="J71">
        <v>0</v>
      </c>
      <c r="K71">
        <v>0</v>
      </c>
      <c r="L71" s="1">
        <f t="shared" si="4"/>
        <v>0.20297919290853</v>
      </c>
      <c r="M71">
        <f t="shared" si="5"/>
        <v>1.47621710470574</v>
      </c>
    </row>
    <row r="72" spans="1:13">
      <c r="A72">
        <v>2012</v>
      </c>
      <c r="B72">
        <v>6</v>
      </c>
      <c r="C72">
        <v>24</v>
      </c>
      <c r="D72">
        <v>2</v>
      </c>
      <c r="E72">
        <v>213.83</v>
      </c>
      <c r="F72">
        <v>0</v>
      </c>
      <c r="G72">
        <v>6.5</v>
      </c>
      <c r="H72">
        <v>1.5</v>
      </c>
      <c r="I72">
        <v>4</v>
      </c>
      <c r="J72">
        <v>1.5</v>
      </c>
      <c r="K72">
        <v>1.5</v>
      </c>
      <c r="L72" s="1">
        <f t="shared" si="4"/>
        <v>2.9921665094508398</v>
      </c>
      <c r="M72">
        <f t="shared" si="5"/>
        <v>1.4493755613170001</v>
      </c>
    </row>
    <row r="73" spans="1:13">
      <c r="A73">
        <v>2012</v>
      </c>
      <c r="B73">
        <v>6</v>
      </c>
      <c r="C73">
        <v>24</v>
      </c>
      <c r="D73">
        <v>3</v>
      </c>
      <c r="E73">
        <v>220</v>
      </c>
      <c r="F73">
        <v>1</v>
      </c>
      <c r="G73">
        <v>10</v>
      </c>
      <c r="H73">
        <v>3</v>
      </c>
      <c r="I73">
        <v>12</v>
      </c>
      <c r="J73">
        <v>4.5</v>
      </c>
      <c r="K73">
        <v>8</v>
      </c>
      <c r="L73" s="1">
        <f t="shared" si="4"/>
        <v>6.5869544751909697</v>
      </c>
      <c r="M73">
        <f t="shared" si="5"/>
        <v>1.4911968549302701</v>
      </c>
    </row>
    <row r="74" spans="1:13">
      <c r="A74">
        <v>2012</v>
      </c>
      <c r="B74">
        <v>6</v>
      </c>
      <c r="C74">
        <v>24</v>
      </c>
      <c r="D74">
        <v>4</v>
      </c>
      <c r="E74">
        <v>227</v>
      </c>
      <c r="F74">
        <v>3.5</v>
      </c>
      <c r="G74">
        <v>10.5</v>
      </c>
      <c r="H74">
        <v>4.5</v>
      </c>
      <c r="I74">
        <v>10</v>
      </c>
      <c r="J74">
        <v>3</v>
      </c>
      <c r="K74">
        <v>11</v>
      </c>
      <c r="L74" s="1">
        <f t="shared" si="4"/>
        <v>7.6141311613072196</v>
      </c>
      <c r="M74">
        <f t="shared" si="5"/>
        <v>1.53864402758714</v>
      </c>
    </row>
    <row r="75" spans="1:13">
      <c r="A75">
        <v>2012</v>
      </c>
      <c r="B75">
        <v>6</v>
      </c>
      <c r="C75">
        <v>24</v>
      </c>
      <c r="D75">
        <v>5</v>
      </c>
      <c r="E75">
        <v>247.7</v>
      </c>
      <c r="F75">
        <v>15</v>
      </c>
      <c r="G75">
        <v>10</v>
      </c>
      <c r="H75">
        <v>12.5</v>
      </c>
      <c r="I75">
        <v>14.5</v>
      </c>
      <c r="J75">
        <v>12.5</v>
      </c>
      <c r="K75">
        <v>14</v>
      </c>
      <c r="L75" s="1">
        <f t="shared" si="4"/>
        <v>12.783727502603</v>
      </c>
      <c r="M75">
        <f t="shared" si="5"/>
        <v>1.6789520953010399</v>
      </c>
    </row>
    <row r="76" spans="1:13">
      <c r="A76">
        <v>2012</v>
      </c>
      <c r="B76">
        <v>6</v>
      </c>
      <c r="C76">
        <v>24</v>
      </c>
      <c r="D76">
        <v>6</v>
      </c>
      <c r="E76">
        <v>281.32</v>
      </c>
      <c r="F76">
        <v>4.5</v>
      </c>
      <c r="G76">
        <v>3.5</v>
      </c>
      <c r="H76">
        <v>3</v>
      </c>
      <c r="I76">
        <v>4</v>
      </c>
      <c r="J76">
        <v>5</v>
      </c>
      <c r="K76">
        <v>6</v>
      </c>
      <c r="L76" s="1">
        <f t="shared" si="4"/>
        <v>4.1291994042743898</v>
      </c>
      <c r="M76">
        <f t="shared" si="5"/>
        <v>1.90683408740447</v>
      </c>
    </row>
    <row r="77" spans="1:13">
      <c r="A77">
        <v>2012</v>
      </c>
      <c r="B77">
        <v>6</v>
      </c>
      <c r="C77">
        <v>24</v>
      </c>
      <c r="D77">
        <v>7</v>
      </c>
      <c r="E77">
        <v>322</v>
      </c>
      <c r="F77">
        <v>6</v>
      </c>
      <c r="G77">
        <v>4</v>
      </c>
      <c r="H77">
        <v>2</v>
      </c>
      <c r="I77">
        <v>4</v>
      </c>
      <c r="J77">
        <v>4</v>
      </c>
      <c r="K77">
        <v>4.5</v>
      </c>
      <c r="L77" s="1">
        <f t="shared" si="4"/>
        <v>4.2143209499978402</v>
      </c>
      <c r="M77">
        <f t="shared" si="5"/>
        <v>2.1825699422161202</v>
      </c>
    </row>
    <row r="78" spans="1:13">
      <c r="A78">
        <v>2012</v>
      </c>
      <c r="B78">
        <v>6</v>
      </c>
      <c r="C78">
        <v>24</v>
      </c>
      <c r="D78">
        <v>8</v>
      </c>
      <c r="E78">
        <v>362</v>
      </c>
      <c r="F78">
        <v>4.5</v>
      </c>
      <c r="G78">
        <v>6.5</v>
      </c>
      <c r="H78">
        <v>5</v>
      </c>
      <c r="I78">
        <v>6</v>
      </c>
      <c r="J78">
        <v>3.5</v>
      </c>
      <c r="K78">
        <v>3.5</v>
      </c>
      <c r="L78" s="1">
        <f t="shared" si="4"/>
        <v>5.1922551904759198</v>
      </c>
      <c r="M78">
        <f t="shared" si="5"/>
        <v>2.4536966431125302</v>
      </c>
    </row>
    <row r="79" spans="1:13">
      <c r="A79">
        <v>2012</v>
      </c>
      <c r="B79">
        <v>6</v>
      </c>
      <c r="C79">
        <v>24</v>
      </c>
      <c r="D79">
        <v>9</v>
      </c>
      <c r="E79">
        <v>391.77</v>
      </c>
      <c r="F79">
        <v>4</v>
      </c>
      <c r="G79">
        <v>14.5</v>
      </c>
      <c r="H79">
        <v>6.5</v>
      </c>
      <c r="I79">
        <v>9</v>
      </c>
      <c r="J79">
        <v>5.5</v>
      </c>
      <c r="K79">
        <v>9</v>
      </c>
      <c r="L79" s="1">
        <f t="shared" si="4"/>
        <v>8.9602027425219006</v>
      </c>
      <c r="M79">
        <f t="shared" si="5"/>
        <v>2.65548269025469</v>
      </c>
    </row>
    <row r="80" spans="1:13">
      <c r="A80">
        <v>2012</v>
      </c>
      <c r="B80">
        <v>6</v>
      </c>
      <c r="C80">
        <v>24</v>
      </c>
      <c r="D80">
        <v>10</v>
      </c>
      <c r="E80">
        <v>422.33</v>
      </c>
      <c r="F80">
        <v>8.5</v>
      </c>
      <c r="G80">
        <v>8</v>
      </c>
      <c r="H80">
        <v>7</v>
      </c>
      <c r="I80">
        <v>5</v>
      </c>
      <c r="J80">
        <v>3</v>
      </c>
      <c r="K80">
        <v>4</v>
      </c>
      <c r="L80" s="1">
        <f t="shared" si="4"/>
        <v>6.77914470822813</v>
      </c>
      <c r="M80">
        <f t="shared" si="5"/>
        <v>2.8626234897395499</v>
      </c>
    </row>
    <row r="81" spans="1:13">
      <c r="A81">
        <v>2012</v>
      </c>
      <c r="B81">
        <v>6</v>
      </c>
      <c r="C81">
        <v>24</v>
      </c>
      <c r="D81">
        <v>11</v>
      </c>
      <c r="E81">
        <v>464.36</v>
      </c>
      <c r="F81">
        <v>6</v>
      </c>
      <c r="G81">
        <v>6.5</v>
      </c>
      <c r="H81">
        <v>12.5</v>
      </c>
      <c r="I81">
        <v>9</v>
      </c>
      <c r="J81">
        <v>18.5</v>
      </c>
      <c r="K81">
        <v>7</v>
      </c>
      <c r="L81" s="1">
        <f t="shared" si="4"/>
        <v>8.2912522099650392</v>
      </c>
      <c r="M81">
        <f t="shared" si="5"/>
        <v>3.1475098707064499</v>
      </c>
    </row>
    <row r="82" spans="1:13">
      <c r="A82">
        <v>2012</v>
      </c>
      <c r="B82">
        <v>6</v>
      </c>
      <c r="C82">
        <v>24</v>
      </c>
      <c r="D82">
        <v>12</v>
      </c>
      <c r="E82">
        <v>487.02</v>
      </c>
      <c r="F82">
        <v>2</v>
      </c>
      <c r="G82">
        <v>1.1200000000000001</v>
      </c>
      <c r="H82">
        <v>2.16</v>
      </c>
      <c r="I82">
        <v>1.73</v>
      </c>
      <c r="J82">
        <v>3.5</v>
      </c>
      <c r="K82">
        <v>4</v>
      </c>
      <c r="L82" s="1">
        <f t="shared" si="4"/>
        <v>2.06917040877999</v>
      </c>
      <c r="M82">
        <f t="shared" si="5"/>
        <v>3.30110314676427</v>
      </c>
    </row>
    <row r="83" spans="1:13">
      <c r="A83">
        <v>2012</v>
      </c>
      <c r="B83">
        <v>6</v>
      </c>
      <c r="C83">
        <v>24</v>
      </c>
      <c r="D83">
        <v>13</v>
      </c>
      <c r="E83">
        <v>477.9</v>
      </c>
      <c r="F83">
        <v>4</v>
      </c>
      <c r="G83">
        <v>0.83</v>
      </c>
      <c r="H83">
        <v>0.84</v>
      </c>
      <c r="I83">
        <v>1.33</v>
      </c>
      <c r="J83">
        <v>1.56</v>
      </c>
      <c r="K83">
        <v>3.5</v>
      </c>
      <c r="L83" s="1">
        <f t="shared" si="4"/>
        <v>2.0191175202450702</v>
      </c>
      <c r="M83">
        <f t="shared" si="5"/>
        <v>3.2392862589598899</v>
      </c>
    </row>
    <row r="84" spans="1:13">
      <c r="A84">
        <v>2012</v>
      </c>
      <c r="B84">
        <v>6</v>
      </c>
      <c r="C84">
        <v>24</v>
      </c>
      <c r="D84">
        <v>14</v>
      </c>
      <c r="E84">
        <v>453.86</v>
      </c>
      <c r="F84">
        <v>1.5</v>
      </c>
      <c r="G84">
        <v>0.54</v>
      </c>
      <c r="H84">
        <v>0</v>
      </c>
      <c r="I84">
        <v>0.94</v>
      </c>
      <c r="J84">
        <v>1.44</v>
      </c>
      <c r="K84">
        <v>0.5</v>
      </c>
      <c r="L84" s="1">
        <f t="shared" si="4"/>
        <v>0.76574129617391296</v>
      </c>
      <c r="M84">
        <f t="shared" si="5"/>
        <v>3.07633911172115</v>
      </c>
    </row>
    <row r="85" spans="1:13">
      <c r="A85">
        <v>2012</v>
      </c>
      <c r="B85">
        <v>6</v>
      </c>
      <c r="C85">
        <v>24</v>
      </c>
      <c r="D85">
        <v>15</v>
      </c>
      <c r="E85">
        <v>430.76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1">
        <f t="shared" si="4"/>
        <v>0</v>
      </c>
      <c r="M85">
        <f t="shared" si="5"/>
        <v>2.9197634419534699</v>
      </c>
    </row>
    <row r="86" spans="1:13">
      <c r="A86">
        <v>2012</v>
      </c>
      <c r="B86">
        <v>6</v>
      </c>
      <c r="C86">
        <v>24</v>
      </c>
      <c r="D86">
        <v>16</v>
      </c>
      <c r="E86">
        <v>402.08</v>
      </c>
      <c r="F86">
        <v>0.33</v>
      </c>
      <c r="G86">
        <v>0</v>
      </c>
      <c r="H86">
        <v>0</v>
      </c>
      <c r="I86">
        <v>0</v>
      </c>
      <c r="J86">
        <v>0</v>
      </c>
      <c r="K86">
        <v>0</v>
      </c>
      <c r="L86" s="1">
        <f t="shared" si="4"/>
        <v>7.5261947932376394E-2</v>
      </c>
      <c r="M86">
        <f t="shared" si="5"/>
        <v>2.72536559741074</v>
      </c>
    </row>
    <row r="87" spans="1:13">
      <c r="A87">
        <v>2012</v>
      </c>
      <c r="B87">
        <v>6</v>
      </c>
      <c r="C87">
        <v>24</v>
      </c>
      <c r="D87">
        <v>17</v>
      </c>
      <c r="E87">
        <v>366</v>
      </c>
      <c r="F87">
        <v>0.67</v>
      </c>
      <c r="G87">
        <v>0</v>
      </c>
      <c r="H87">
        <v>0.5</v>
      </c>
      <c r="I87">
        <v>0</v>
      </c>
      <c r="J87">
        <v>0</v>
      </c>
      <c r="K87">
        <v>0</v>
      </c>
      <c r="L87" s="1">
        <f t="shared" si="4"/>
        <v>0.23028748844416599</v>
      </c>
      <c r="M87">
        <f t="shared" si="5"/>
        <v>2.48080931320218</v>
      </c>
    </row>
    <row r="88" spans="1:13">
      <c r="A88">
        <v>2012</v>
      </c>
      <c r="B88">
        <v>6</v>
      </c>
      <c r="C88">
        <v>24</v>
      </c>
      <c r="D88">
        <v>18</v>
      </c>
      <c r="E88">
        <v>329.72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1">
        <f t="shared" si="4"/>
        <v>0</v>
      </c>
      <c r="M88">
        <f t="shared" si="5"/>
        <v>2.23489739548913</v>
      </c>
    </row>
    <row r="89" spans="1:13">
      <c r="A89">
        <v>2012</v>
      </c>
      <c r="B89">
        <v>6</v>
      </c>
      <c r="C89">
        <v>24</v>
      </c>
      <c r="D89">
        <v>19</v>
      </c>
      <c r="E89">
        <v>294.48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">
        <f t="shared" si="4"/>
        <v>0</v>
      </c>
      <c r="M89">
        <f t="shared" si="5"/>
        <v>1.9960347719993901</v>
      </c>
    </row>
    <row r="90" spans="1:13">
      <c r="A90">
        <v>2012</v>
      </c>
      <c r="B90">
        <v>6</v>
      </c>
      <c r="C90">
        <v>24</v>
      </c>
      <c r="D90">
        <v>20</v>
      </c>
      <c r="E90">
        <v>260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f t="shared" si="4"/>
        <v>0</v>
      </c>
      <c r="M90">
        <f t="shared" si="5"/>
        <v>1.7623235558266801</v>
      </c>
    </row>
    <row r="91" spans="1:13">
      <c r="A91">
        <v>2012</v>
      </c>
      <c r="B91">
        <v>6</v>
      </c>
      <c r="C91">
        <v>24</v>
      </c>
      <c r="D91">
        <v>21</v>
      </c>
      <c r="E91">
        <v>151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f t="shared" si="4"/>
        <v>0</v>
      </c>
      <c r="M91">
        <f t="shared" si="5"/>
        <v>1.0235032958839601</v>
      </c>
    </row>
    <row r="92" spans="1:13">
      <c r="A92">
        <v>2012</v>
      </c>
      <c r="B92">
        <v>6</v>
      </c>
      <c r="C92">
        <v>24</v>
      </c>
      <c r="D92">
        <v>22</v>
      </c>
      <c r="E92">
        <v>237.03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f t="shared" si="4"/>
        <v>0</v>
      </c>
      <c r="M92">
        <f t="shared" si="5"/>
        <v>1.6066290478369201</v>
      </c>
    </row>
    <row r="93" spans="1:13">
      <c r="A93">
        <v>2012</v>
      </c>
      <c r="B93">
        <v>6</v>
      </c>
      <c r="C93">
        <v>24</v>
      </c>
      <c r="D93">
        <v>23</v>
      </c>
      <c r="E93">
        <v>194.09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 s="1">
        <f t="shared" si="4"/>
        <v>4.8285029475614603E-2</v>
      </c>
      <c r="M93">
        <f t="shared" si="5"/>
        <v>1.3155745344246199</v>
      </c>
    </row>
    <row r="94" spans="1:13">
      <c r="A94">
        <v>2012</v>
      </c>
      <c r="B94">
        <v>6</v>
      </c>
      <c r="C94">
        <v>25</v>
      </c>
      <c r="D94">
        <v>0</v>
      </c>
      <c r="E94">
        <v>181</v>
      </c>
      <c r="F94">
        <v>0</v>
      </c>
      <c r="G94">
        <v>0</v>
      </c>
      <c r="H94">
        <v>0</v>
      </c>
      <c r="I94">
        <v>0</v>
      </c>
      <c r="J94">
        <v>2</v>
      </c>
      <c r="K94">
        <v>0</v>
      </c>
      <c r="L94" s="1">
        <f t="shared" si="4"/>
        <v>9.6570058951229207E-2</v>
      </c>
      <c r="M94">
        <f t="shared" si="5"/>
        <v>1.22684832155627</v>
      </c>
    </row>
    <row r="95" spans="1:13">
      <c r="A95">
        <v>2012</v>
      </c>
      <c r="B95">
        <v>6</v>
      </c>
      <c r="C95">
        <v>25</v>
      </c>
      <c r="D95">
        <v>1</v>
      </c>
      <c r="E95">
        <v>186.5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1">
        <f t="shared" si="4"/>
        <v>0</v>
      </c>
      <c r="M95">
        <f t="shared" si="5"/>
        <v>1.26412824292952</v>
      </c>
    </row>
    <row r="96" spans="1:13">
      <c r="A96">
        <v>2012</v>
      </c>
      <c r="B96">
        <v>6</v>
      </c>
      <c r="C96">
        <v>25</v>
      </c>
      <c r="D96">
        <v>2</v>
      </c>
      <c r="E96">
        <v>184.08</v>
      </c>
      <c r="F96">
        <v>0</v>
      </c>
      <c r="G96">
        <v>0</v>
      </c>
      <c r="H96">
        <v>0</v>
      </c>
      <c r="I96">
        <v>0.5</v>
      </c>
      <c r="J96">
        <v>0</v>
      </c>
      <c r="K96">
        <v>0</v>
      </c>
      <c r="L96" s="1">
        <f t="shared" si="4"/>
        <v>6.5590067725190507E-2</v>
      </c>
      <c r="M96">
        <f t="shared" si="5"/>
        <v>1.2477250775252899</v>
      </c>
    </row>
    <row r="97" spans="1:13">
      <c r="A97">
        <v>2012</v>
      </c>
      <c r="B97">
        <v>6</v>
      </c>
      <c r="C97">
        <v>25</v>
      </c>
      <c r="D97">
        <v>3</v>
      </c>
      <c r="E97">
        <v>186.05</v>
      </c>
      <c r="F97">
        <v>0</v>
      </c>
      <c r="G97">
        <v>0</v>
      </c>
      <c r="H97">
        <v>0.5</v>
      </c>
      <c r="I97">
        <v>0</v>
      </c>
      <c r="J97">
        <v>0.5</v>
      </c>
      <c r="K97">
        <v>0</v>
      </c>
      <c r="L97" s="1">
        <f t="shared" si="4"/>
        <v>0.10162544222835999</v>
      </c>
      <c r="M97">
        <f t="shared" si="5"/>
        <v>1.26107806754444</v>
      </c>
    </row>
    <row r="98" spans="1:13">
      <c r="A98">
        <v>2012</v>
      </c>
      <c r="B98">
        <v>6</v>
      </c>
      <c r="C98">
        <v>25</v>
      </c>
      <c r="D98">
        <v>4</v>
      </c>
      <c r="E98">
        <v>179.08</v>
      </c>
      <c r="F98">
        <v>0</v>
      </c>
      <c r="G98">
        <v>1</v>
      </c>
      <c r="H98">
        <v>1</v>
      </c>
      <c r="I98">
        <v>1</v>
      </c>
      <c r="J98">
        <v>0</v>
      </c>
      <c r="K98">
        <v>0.67</v>
      </c>
      <c r="L98" s="1">
        <f t="shared" si="4"/>
        <v>0.67868949779427201</v>
      </c>
      <c r="M98">
        <f t="shared" si="5"/>
        <v>1.21383423991324</v>
      </c>
    </row>
    <row r="99" spans="1:13">
      <c r="A99">
        <v>2012</v>
      </c>
      <c r="B99">
        <v>6</v>
      </c>
      <c r="C99">
        <v>25</v>
      </c>
      <c r="D99">
        <v>5</v>
      </c>
      <c r="E99">
        <v>136.38999999999999</v>
      </c>
      <c r="F99">
        <v>0</v>
      </c>
      <c r="G99">
        <v>6</v>
      </c>
      <c r="H99">
        <v>0</v>
      </c>
      <c r="I99">
        <v>7.5</v>
      </c>
      <c r="J99">
        <v>3</v>
      </c>
      <c r="K99">
        <v>1.33</v>
      </c>
      <c r="L99" s="1">
        <f t="shared" si="4"/>
        <v>3.1174834735096102</v>
      </c>
      <c r="M99">
        <f t="shared" si="5"/>
        <v>0.92447426838154301</v>
      </c>
    </row>
    <row r="100" spans="1:13">
      <c r="A100">
        <v>2012</v>
      </c>
      <c r="B100">
        <v>6</v>
      </c>
      <c r="C100">
        <v>25</v>
      </c>
      <c r="D100">
        <v>6</v>
      </c>
      <c r="E100">
        <v>91.75</v>
      </c>
      <c r="F100">
        <v>0</v>
      </c>
      <c r="G100">
        <v>1.33</v>
      </c>
      <c r="H100">
        <v>0</v>
      </c>
      <c r="I100">
        <v>0.99</v>
      </c>
      <c r="J100">
        <v>1</v>
      </c>
      <c r="K100">
        <v>11</v>
      </c>
      <c r="L100" s="1">
        <f t="shared" si="4"/>
        <v>2.07746553019392</v>
      </c>
      <c r="M100">
        <f t="shared" si="5"/>
        <v>0.62189687018114603</v>
      </c>
    </row>
    <row r="101" spans="1:13">
      <c r="A101">
        <v>2012</v>
      </c>
      <c r="B101">
        <v>6</v>
      </c>
      <c r="C101">
        <v>25</v>
      </c>
      <c r="D101">
        <v>7</v>
      </c>
      <c r="E101">
        <v>148.21</v>
      </c>
      <c r="F101">
        <v>0</v>
      </c>
      <c r="G101">
        <v>0.67</v>
      </c>
      <c r="H101">
        <v>3</v>
      </c>
      <c r="I101">
        <v>0.67</v>
      </c>
      <c r="J101">
        <v>7.5</v>
      </c>
      <c r="K101">
        <v>0</v>
      </c>
      <c r="L101" s="1">
        <f t="shared" ref="L101:L132" si="6">F101*$F$2+G101*$G$2+H101*$H$2+I101*$I$2+J101*$J$2+K101*$K$2</f>
        <v>1.1167723119388</v>
      </c>
      <c r="M101">
        <f t="shared" ref="M101:M132" si="7">E101*3600/(1000*$L$1)</f>
        <v>1.0045922084964301</v>
      </c>
    </row>
    <row r="102" spans="1:13">
      <c r="A102">
        <v>2012</v>
      </c>
      <c r="B102">
        <v>6</v>
      </c>
      <c r="C102">
        <v>25</v>
      </c>
      <c r="D102">
        <v>8</v>
      </c>
      <c r="E102">
        <v>296</v>
      </c>
      <c r="F102">
        <v>0</v>
      </c>
      <c r="G102">
        <v>0</v>
      </c>
      <c r="H102">
        <v>0</v>
      </c>
      <c r="I102">
        <v>0.35</v>
      </c>
      <c r="J102">
        <v>22.5</v>
      </c>
      <c r="K102">
        <v>6.5</v>
      </c>
      <c r="L102" s="1">
        <f t="shared" si="6"/>
        <v>2.0178815590538499</v>
      </c>
      <c r="M102">
        <f t="shared" si="7"/>
        <v>2.0063375866334501</v>
      </c>
    </row>
    <row r="103" spans="1:13">
      <c r="A103">
        <v>2012</v>
      </c>
      <c r="B103">
        <v>6</v>
      </c>
      <c r="C103">
        <v>25</v>
      </c>
      <c r="D103">
        <v>9</v>
      </c>
      <c r="E103">
        <v>239.04</v>
      </c>
      <c r="F103">
        <v>1.5</v>
      </c>
      <c r="G103">
        <v>3</v>
      </c>
      <c r="H103">
        <v>0</v>
      </c>
      <c r="I103">
        <v>1.36</v>
      </c>
      <c r="J103">
        <v>0</v>
      </c>
      <c r="K103">
        <v>0.5</v>
      </c>
      <c r="L103" s="1">
        <f t="shared" si="6"/>
        <v>1.4924139502218901</v>
      </c>
      <c r="M103">
        <f t="shared" si="7"/>
        <v>1.62025316455696</v>
      </c>
    </row>
    <row r="104" spans="1:13">
      <c r="A104">
        <v>2012</v>
      </c>
      <c r="B104">
        <v>6</v>
      </c>
      <c r="C104">
        <v>25</v>
      </c>
      <c r="D104">
        <v>10</v>
      </c>
      <c r="E104">
        <v>193</v>
      </c>
      <c r="F104">
        <v>3</v>
      </c>
      <c r="G104">
        <v>9</v>
      </c>
      <c r="H104">
        <v>1.17</v>
      </c>
      <c r="I104">
        <v>1.64</v>
      </c>
      <c r="J104">
        <v>0</v>
      </c>
      <c r="K104">
        <v>0</v>
      </c>
      <c r="L104" s="1">
        <f t="shared" si="6"/>
        <v>3.7920136806014502</v>
      </c>
      <c r="M104">
        <f t="shared" si="7"/>
        <v>1.3081863318251901</v>
      </c>
    </row>
    <row r="105" spans="1:13">
      <c r="A105">
        <v>2012</v>
      </c>
      <c r="B105">
        <v>6</v>
      </c>
      <c r="C105">
        <v>25</v>
      </c>
      <c r="D105">
        <v>11</v>
      </c>
      <c r="E105">
        <v>339</v>
      </c>
      <c r="F105">
        <v>4</v>
      </c>
      <c r="G105">
        <v>19</v>
      </c>
      <c r="H105">
        <v>2.33</v>
      </c>
      <c r="I105">
        <v>24</v>
      </c>
      <c r="J105">
        <v>15.5</v>
      </c>
      <c r="K105">
        <v>21</v>
      </c>
      <c r="L105" s="1">
        <f t="shared" si="6"/>
        <v>13.755103207014701</v>
      </c>
      <c r="M105">
        <f t="shared" si="7"/>
        <v>2.2977987900971</v>
      </c>
    </row>
    <row r="106" spans="1:13">
      <c r="A106">
        <v>2012</v>
      </c>
      <c r="B106">
        <v>6</v>
      </c>
      <c r="C106">
        <v>25</v>
      </c>
      <c r="D106">
        <v>12</v>
      </c>
      <c r="E106">
        <v>313.60000000000002</v>
      </c>
      <c r="F106">
        <v>0</v>
      </c>
      <c r="G106">
        <v>0</v>
      </c>
      <c r="H106">
        <v>0</v>
      </c>
      <c r="I106">
        <v>0.5</v>
      </c>
      <c r="J106">
        <v>1.5</v>
      </c>
      <c r="K106">
        <v>2</v>
      </c>
      <c r="L106" s="1">
        <f t="shared" si="6"/>
        <v>0.410496180690884</v>
      </c>
      <c r="M106">
        <f t="shared" si="7"/>
        <v>2.1256333350278802</v>
      </c>
    </row>
    <row r="107" spans="1:13">
      <c r="A107">
        <v>2012</v>
      </c>
      <c r="B107">
        <v>6</v>
      </c>
      <c r="C107">
        <v>25</v>
      </c>
      <c r="D107">
        <v>13</v>
      </c>
      <c r="E107">
        <v>280.33999999999997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1">
        <f t="shared" si="6"/>
        <v>0</v>
      </c>
      <c r="M107">
        <f t="shared" si="7"/>
        <v>1.90019148323251</v>
      </c>
    </row>
    <row r="108" spans="1:13">
      <c r="A108">
        <v>2012</v>
      </c>
      <c r="B108">
        <v>6</v>
      </c>
      <c r="C108">
        <v>25</v>
      </c>
      <c r="D108">
        <v>14</v>
      </c>
      <c r="E108">
        <v>266.32</v>
      </c>
      <c r="F108">
        <v>0</v>
      </c>
      <c r="G108">
        <v>0</v>
      </c>
      <c r="H108">
        <v>0.5</v>
      </c>
      <c r="I108">
        <v>0</v>
      </c>
      <c r="J108">
        <v>0</v>
      </c>
      <c r="K108">
        <v>0</v>
      </c>
      <c r="L108" s="1">
        <f t="shared" si="6"/>
        <v>7.7482927490552994E-2</v>
      </c>
      <c r="M108">
        <f t="shared" si="7"/>
        <v>1.80516157456832</v>
      </c>
    </row>
    <row r="109" spans="1:13">
      <c r="A109">
        <v>2012</v>
      </c>
      <c r="B109">
        <v>6</v>
      </c>
      <c r="C109">
        <v>25</v>
      </c>
      <c r="D109">
        <v>15</v>
      </c>
      <c r="E109">
        <v>245.82</v>
      </c>
      <c r="F109">
        <v>2.5</v>
      </c>
      <c r="G109">
        <v>0</v>
      </c>
      <c r="H109">
        <v>10</v>
      </c>
      <c r="I109">
        <v>0</v>
      </c>
      <c r="J109">
        <v>2</v>
      </c>
      <c r="K109">
        <v>0</v>
      </c>
      <c r="L109" s="1">
        <f t="shared" si="6"/>
        <v>2.2163948809772598</v>
      </c>
      <c r="M109">
        <f t="shared" si="7"/>
        <v>1.6662091403589001</v>
      </c>
    </row>
    <row r="110" spans="1:13">
      <c r="A110">
        <v>2012</v>
      </c>
      <c r="B110">
        <v>6</v>
      </c>
      <c r="C110">
        <v>25</v>
      </c>
      <c r="D110">
        <v>16</v>
      </c>
      <c r="E110">
        <v>213.97</v>
      </c>
      <c r="F110">
        <v>10</v>
      </c>
      <c r="G110">
        <v>0.5</v>
      </c>
      <c r="H110">
        <v>0</v>
      </c>
      <c r="I110">
        <v>0</v>
      </c>
      <c r="J110">
        <v>5.5</v>
      </c>
      <c r="K110">
        <v>0</v>
      </c>
      <c r="L110" s="1">
        <f t="shared" si="6"/>
        <v>2.6968643443911602</v>
      </c>
      <c r="M110">
        <f t="shared" si="7"/>
        <v>1.4503245047701401</v>
      </c>
    </row>
    <row r="111" spans="1:13">
      <c r="A111">
        <v>2012</v>
      </c>
      <c r="B111">
        <v>6</v>
      </c>
      <c r="C111">
        <v>25</v>
      </c>
      <c r="D111">
        <v>17</v>
      </c>
      <c r="E111">
        <v>181.46</v>
      </c>
      <c r="F111">
        <v>0</v>
      </c>
      <c r="G111">
        <v>1</v>
      </c>
      <c r="H111">
        <v>2.5</v>
      </c>
      <c r="I111">
        <v>9</v>
      </c>
      <c r="J111">
        <v>5</v>
      </c>
      <c r="K111">
        <v>5.5</v>
      </c>
      <c r="L111" s="1">
        <f t="shared" si="6"/>
        <v>2.8600402547837902</v>
      </c>
      <c r="M111">
        <f t="shared" si="7"/>
        <v>1.2299662786165799</v>
      </c>
    </row>
    <row r="112" spans="1:13">
      <c r="A112">
        <v>2012</v>
      </c>
      <c r="B112">
        <v>6</v>
      </c>
      <c r="C112">
        <v>25</v>
      </c>
      <c r="D112">
        <v>18</v>
      </c>
      <c r="E112">
        <v>159.38999999999999</v>
      </c>
      <c r="F112">
        <v>0.5</v>
      </c>
      <c r="G112">
        <v>1.5</v>
      </c>
      <c r="H112">
        <v>0</v>
      </c>
      <c r="I112">
        <v>0.5</v>
      </c>
      <c r="J112">
        <v>0</v>
      </c>
      <c r="K112">
        <v>0</v>
      </c>
      <c r="L112" s="1">
        <f t="shared" si="6"/>
        <v>0.63151810241434603</v>
      </c>
      <c r="M112">
        <f t="shared" si="7"/>
        <v>1.0803721213969799</v>
      </c>
    </row>
    <row r="113" spans="1:13">
      <c r="A113">
        <v>2012</v>
      </c>
      <c r="B113">
        <v>6</v>
      </c>
      <c r="C113">
        <v>25</v>
      </c>
      <c r="D113">
        <v>19</v>
      </c>
      <c r="E113">
        <v>158.87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 s="1">
        <f t="shared" si="6"/>
        <v>0.15496585498110599</v>
      </c>
      <c r="M113">
        <f t="shared" si="7"/>
        <v>1.07684747428533</v>
      </c>
    </row>
    <row r="114" spans="1:13">
      <c r="A114">
        <v>2012</v>
      </c>
      <c r="B114">
        <v>6</v>
      </c>
      <c r="C114">
        <v>25</v>
      </c>
      <c r="D114">
        <v>20</v>
      </c>
      <c r="E114">
        <v>191</v>
      </c>
      <c r="F114">
        <v>0</v>
      </c>
      <c r="G114">
        <v>0</v>
      </c>
      <c r="H114">
        <v>0</v>
      </c>
      <c r="I114">
        <v>0</v>
      </c>
      <c r="J114">
        <v>0.5</v>
      </c>
      <c r="K114">
        <v>1</v>
      </c>
      <c r="L114" s="1">
        <f t="shared" si="6"/>
        <v>0.16038179911394301</v>
      </c>
      <c r="M114">
        <f t="shared" si="7"/>
        <v>1.2946299967803701</v>
      </c>
    </row>
    <row r="115" spans="1:13">
      <c r="A115">
        <v>2012</v>
      </c>
      <c r="B115">
        <v>6</v>
      </c>
      <c r="C115">
        <v>25</v>
      </c>
      <c r="D115">
        <v>21</v>
      </c>
      <c r="E115">
        <v>251.09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1">
        <f t="shared" si="6"/>
        <v>0</v>
      </c>
      <c r="M115">
        <f t="shared" si="7"/>
        <v>1.7019300832020099</v>
      </c>
    </row>
    <row r="116" spans="1:13">
      <c r="A116">
        <v>2012</v>
      </c>
      <c r="B116">
        <v>6</v>
      </c>
      <c r="C116">
        <v>25</v>
      </c>
      <c r="D116">
        <v>22</v>
      </c>
      <c r="E116">
        <v>271.3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1">
        <f t="shared" si="6"/>
        <v>0</v>
      </c>
      <c r="M116">
        <f t="shared" si="7"/>
        <v>1.8389168488299199</v>
      </c>
    </row>
    <row r="117" spans="1:13">
      <c r="A117">
        <v>2012</v>
      </c>
      <c r="B117">
        <v>6</v>
      </c>
      <c r="C117">
        <v>25</v>
      </c>
      <c r="D117">
        <v>23</v>
      </c>
      <c r="E117">
        <v>168</v>
      </c>
      <c r="F117">
        <v>0</v>
      </c>
      <c r="G117">
        <v>0</v>
      </c>
      <c r="H117">
        <v>0.5</v>
      </c>
      <c r="I117">
        <v>0</v>
      </c>
      <c r="J117">
        <v>0</v>
      </c>
      <c r="K117">
        <v>0</v>
      </c>
      <c r="L117" s="1">
        <f t="shared" si="6"/>
        <v>7.7482927490552994E-2</v>
      </c>
      <c r="M117">
        <f t="shared" si="7"/>
        <v>1.13873214376493</v>
      </c>
    </row>
    <row r="118" spans="1:13">
      <c r="A118">
        <v>2012</v>
      </c>
      <c r="B118">
        <v>6</v>
      </c>
      <c r="C118">
        <v>26</v>
      </c>
      <c r="D118">
        <v>0</v>
      </c>
      <c r="E118">
        <v>61</v>
      </c>
      <c r="F118">
        <v>5</v>
      </c>
      <c r="G118">
        <v>0.5</v>
      </c>
      <c r="H118">
        <v>0</v>
      </c>
      <c r="I118">
        <v>0.33</v>
      </c>
      <c r="J118">
        <v>0</v>
      </c>
      <c r="K118">
        <v>0</v>
      </c>
      <c r="L118" s="1">
        <f t="shared" si="6"/>
        <v>1.3342535825439601</v>
      </c>
      <c r="M118">
        <f t="shared" si="7"/>
        <v>0.413468218867029</v>
      </c>
    </row>
    <row r="119" spans="1:13">
      <c r="A119">
        <v>2012</v>
      </c>
      <c r="B119">
        <v>6</v>
      </c>
      <c r="C119">
        <v>26</v>
      </c>
      <c r="D119">
        <v>1</v>
      </c>
      <c r="E119">
        <v>109.11</v>
      </c>
      <c r="F119">
        <v>2</v>
      </c>
      <c r="G119">
        <v>0</v>
      </c>
      <c r="H119">
        <v>0</v>
      </c>
      <c r="I119">
        <v>0.67</v>
      </c>
      <c r="J119">
        <v>0</v>
      </c>
      <c r="K119">
        <v>2.5</v>
      </c>
      <c r="L119" s="1">
        <f t="shared" si="6"/>
        <v>0.88462191946407298</v>
      </c>
      <c r="M119">
        <f t="shared" si="7"/>
        <v>0.73956585837018995</v>
      </c>
    </row>
    <row r="120" spans="1:13">
      <c r="A120">
        <v>2012</v>
      </c>
      <c r="B120">
        <v>6</v>
      </c>
      <c r="C120">
        <v>26</v>
      </c>
      <c r="D120">
        <v>2</v>
      </c>
      <c r="E120">
        <v>152.19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1">
        <f t="shared" si="6"/>
        <v>0</v>
      </c>
      <c r="M120">
        <f t="shared" si="7"/>
        <v>1.03156931523563</v>
      </c>
    </row>
    <row r="121" spans="1:13">
      <c r="A121">
        <v>2012</v>
      </c>
      <c r="B121">
        <v>6</v>
      </c>
      <c r="C121">
        <v>26</v>
      </c>
      <c r="D121">
        <v>3</v>
      </c>
      <c r="E121">
        <v>114.36</v>
      </c>
      <c r="F121">
        <v>0.5</v>
      </c>
      <c r="G121">
        <v>0</v>
      </c>
      <c r="H121">
        <v>0</v>
      </c>
      <c r="I121">
        <v>0</v>
      </c>
      <c r="J121">
        <v>0</v>
      </c>
      <c r="K121">
        <v>0</v>
      </c>
      <c r="L121" s="1">
        <f t="shared" si="6"/>
        <v>0.114033254442995</v>
      </c>
      <c r="M121">
        <f t="shared" si="7"/>
        <v>0.77515123786284401</v>
      </c>
    </row>
    <row r="122" spans="1:13">
      <c r="A122">
        <v>2012</v>
      </c>
      <c r="B122">
        <v>6</v>
      </c>
      <c r="C122">
        <v>26</v>
      </c>
      <c r="D122">
        <v>4</v>
      </c>
      <c r="E122">
        <v>134.99</v>
      </c>
      <c r="F122">
        <v>1</v>
      </c>
      <c r="G122">
        <v>0.83</v>
      </c>
      <c r="H122">
        <v>0</v>
      </c>
      <c r="I122">
        <v>0</v>
      </c>
      <c r="J122">
        <v>0</v>
      </c>
      <c r="K122">
        <v>0</v>
      </c>
      <c r="L122" s="1">
        <f t="shared" si="6"/>
        <v>0.478114953955531</v>
      </c>
      <c r="M122">
        <f t="shared" si="7"/>
        <v>0.91498483385016904</v>
      </c>
    </row>
    <row r="123" spans="1:13">
      <c r="A123">
        <v>2012</v>
      </c>
      <c r="B123">
        <v>6</v>
      </c>
      <c r="C123">
        <v>26</v>
      </c>
      <c r="D123">
        <v>5</v>
      </c>
      <c r="E123">
        <v>147.21</v>
      </c>
      <c r="F123">
        <v>0</v>
      </c>
      <c r="G123">
        <v>1.67</v>
      </c>
      <c r="H123">
        <v>0</v>
      </c>
      <c r="I123">
        <v>2.5</v>
      </c>
      <c r="J123">
        <v>0</v>
      </c>
      <c r="K123">
        <v>0.5</v>
      </c>
      <c r="L123" s="1">
        <f t="shared" si="6"/>
        <v>0.89917950282141301</v>
      </c>
      <c r="M123">
        <f t="shared" si="7"/>
        <v>0.99781404097402304</v>
      </c>
    </row>
    <row r="124" spans="1:13">
      <c r="A124">
        <v>2012</v>
      </c>
      <c r="B124">
        <v>6</v>
      </c>
      <c r="C124">
        <v>26</v>
      </c>
      <c r="D124">
        <v>6</v>
      </c>
      <c r="E124">
        <v>134.69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 s="1">
        <f t="shared" si="6"/>
        <v>0.136239284376136</v>
      </c>
      <c r="M124">
        <f t="shared" si="7"/>
        <v>0.91295138359344596</v>
      </c>
    </row>
    <row r="125" spans="1:13">
      <c r="A125">
        <v>2012</v>
      </c>
      <c r="B125">
        <v>6</v>
      </c>
      <c r="C125">
        <v>26</v>
      </c>
      <c r="D125">
        <v>7</v>
      </c>
      <c r="E125">
        <v>141</v>
      </c>
      <c r="F125">
        <v>0.5</v>
      </c>
      <c r="G125">
        <v>0</v>
      </c>
      <c r="H125">
        <v>0</v>
      </c>
      <c r="I125">
        <v>0</v>
      </c>
      <c r="J125">
        <v>0</v>
      </c>
      <c r="K125">
        <v>1.5</v>
      </c>
      <c r="L125" s="1">
        <f t="shared" si="6"/>
        <v>0.31839218100719902</v>
      </c>
      <c r="M125">
        <f t="shared" si="7"/>
        <v>0.955721620659855</v>
      </c>
    </row>
    <row r="126" spans="1:13">
      <c r="A126">
        <v>2012</v>
      </c>
      <c r="B126">
        <v>6</v>
      </c>
      <c r="C126">
        <v>26</v>
      </c>
      <c r="D126">
        <v>8</v>
      </c>
      <c r="E126">
        <v>260</v>
      </c>
      <c r="F126">
        <v>0</v>
      </c>
      <c r="G126">
        <v>0.5</v>
      </c>
      <c r="H126">
        <v>2</v>
      </c>
      <c r="I126">
        <v>0.5</v>
      </c>
      <c r="J126">
        <v>1.5</v>
      </c>
      <c r="K126">
        <v>0</v>
      </c>
      <c r="L126" s="1">
        <f t="shared" si="6"/>
        <v>0.59858091531621105</v>
      </c>
      <c r="M126">
        <f t="shared" si="7"/>
        <v>1.7623235558266801</v>
      </c>
    </row>
    <row r="127" spans="1:13">
      <c r="A127">
        <v>2012</v>
      </c>
      <c r="B127">
        <v>6</v>
      </c>
      <c r="C127">
        <v>26</v>
      </c>
      <c r="D127">
        <v>9</v>
      </c>
      <c r="E127">
        <v>177.3</v>
      </c>
      <c r="F127">
        <v>0</v>
      </c>
      <c r="G127">
        <v>0.43</v>
      </c>
      <c r="H127">
        <v>0</v>
      </c>
      <c r="I127">
        <v>0.5</v>
      </c>
      <c r="J127">
        <v>0</v>
      </c>
      <c r="K127">
        <v>0</v>
      </c>
      <c r="L127" s="1">
        <f t="shared" si="6"/>
        <v>0.195133238062423</v>
      </c>
      <c r="M127">
        <f t="shared" si="7"/>
        <v>1.2017691017233501</v>
      </c>
    </row>
    <row r="128" spans="1:13">
      <c r="A128">
        <v>2012</v>
      </c>
      <c r="B128">
        <v>6</v>
      </c>
      <c r="C128">
        <v>26</v>
      </c>
      <c r="D128">
        <v>10</v>
      </c>
      <c r="E128">
        <v>126.29</v>
      </c>
      <c r="F128">
        <v>0</v>
      </c>
      <c r="G128">
        <v>0.56999999999999995</v>
      </c>
      <c r="H128">
        <v>0</v>
      </c>
      <c r="I128">
        <v>0</v>
      </c>
      <c r="J128">
        <v>0</v>
      </c>
      <c r="K128">
        <v>0</v>
      </c>
      <c r="L128" s="1">
        <f t="shared" si="6"/>
        <v>0.17172001649354099</v>
      </c>
      <c r="M128">
        <f t="shared" si="7"/>
        <v>0.85601477640519896</v>
      </c>
    </row>
    <row r="129" spans="1:13">
      <c r="A129">
        <v>2012</v>
      </c>
      <c r="B129">
        <v>6</v>
      </c>
      <c r="C129">
        <v>26</v>
      </c>
      <c r="D129">
        <v>11</v>
      </c>
      <c r="E129">
        <v>129.97</v>
      </c>
      <c r="F129">
        <v>1.5</v>
      </c>
      <c r="G129">
        <v>0</v>
      </c>
      <c r="H129">
        <v>0</v>
      </c>
      <c r="I129">
        <v>0</v>
      </c>
      <c r="J129">
        <v>0</v>
      </c>
      <c r="K129">
        <v>0</v>
      </c>
      <c r="L129" s="1">
        <f t="shared" si="6"/>
        <v>0.34209976332898401</v>
      </c>
      <c r="M129">
        <f t="shared" si="7"/>
        <v>0.88095843288766895</v>
      </c>
    </row>
    <row r="130" spans="1:13">
      <c r="A130">
        <v>2012</v>
      </c>
      <c r="B130">
        <v>6</v>
      </c>
      <c r="C130">
        <v>26</v>
      </c>
      <c r="D130">
        <v>12</v>
      </c>
      <c r="E130">
        <v>124.49</v>
      </c>
      <c r="F130">
        <v>10</v>
      </c>
      <c r="G130">
        <v>3</v>
      </c>
      <c r="H130">
        <v>3</v>
      </c>
      <c r="I130">
        <v>4</v>
      </c>
      <c r="J130">
        <v>0</v>
      </c>
      <c r="K130">
        <v>2</v>
      </c>
      <c r="L130" s="1">
        <f t="shared" si="6"/>
        <v>4.44655132484933</v>
      </c>
      <c r="M130">
        <f t="shared" si="7"/>
        <v>0.84381407486486004</v>
      </c>
    </row>
    <row r="131" spans="1:13">
      <c r="A131">
        <v>2012</v>
      </c>
      <c r="B131">
        <v>6</v>
      </c>
      <c r="C131">
        <v>26</v>
      </c>
      <c r="D131">
        <v>13</v>
      </c>
      <c r="E131">
        <v>122</v>
      </c>
      <c r="F131">
        <v>0</v>
      </c>
      <c r="G131">
        <v>0</v>
      </c>
      <c r="H131">
        <v>21</v>
      </c>
      <c r="I131">
        <v>0</v>
      </c>
      <c r="J131">
        <v>9.5</v>
      </c>
      <c r="K131">
        <v>5.5</v>
      </c>
      <c r="L131" s="1">
        <f t="shared" si="6"/>
        <v>4.4623067986903102</v>
      </c>
      <c r="M131">
        <f t="shared" si="7"/>
        <v>0.826936437734059</v>
      </c>
    </row>
    <row r="132" spans="1:13">
      <c r="A132">
        <v>2012</v>
      </c>
      <c r="B132">
        <v>6</v>
      </c>
      <c r="C132">
        <v>26</v>
      </c>
      <c r="D132">
        <v>14</v>
      </c>
      <c r="E132">
        <v>124.76</v>
      </c>
      <c r="F132">
        <v>0</v>
      </c>
      <c r="G132">
        <v>0.45</v>
      </c>
      <c r="H132">
        <v>1</v>
      </c>
      <c r="I132">
        <v>1</v>
      </c>
      <c r="J132">
        <v>2.5</v>
      </c>
      <c r="K132">
        <v>0.5</v>
      </c>
      <c r="L132" s="1">
        <f t="shared" si="6"/>
        <v>0.61054664038244</v>
      </c>
      <c r="M132">
        <f t="shared" si="7"/>
        <v>0.84564418009591102</v>
      </c>
    </row>
    <row r="133" spans="1:13">
      <c r="A133">
        <v>2012</v>
      </c>
      <c r="B133">
        <v>6</v>
      </c>
      <c r="C133">
        <v>26</v>
      </c>
      <c r="D133">
        <v>15</v>
      </c>
      <c r="E133">
        <v>129.56</v>
      </c>
      <c r="F133">
        <v>0.5</v>
      </c>
      <c r="G133">
        <v>0.9</v>
      </c>
      <c r="H133">
        <v>0</v>
      </c>
      <c r="I133">
        <v>3</v>
      </c>
      <c r="J133">
        <v>0</v>
      </c>
      <c r="K133">
        <v>0</v>
      </c>
      <c r="L133" s="1">
        <f t="shared" ref="L133:L167" si="8">F133*$F$2+G133*$G$2+H133*$H$2+I133*$I$2+J133*$J$2+K133*$K$2</f>
        <v>0.77871052894183401</v>
      </c>
      <c r="M133">
        <f t="shared" ref="M133:M164" si="9">E133*3600/(1000*$L$1)</f>
        <v>0.87817938420348096</v>
      </c>
    </row>
    <row r="134" spans="1:13">
      <c r="A134">
        <v>2012</v>
      </c>
      <c r="B134">
        <v>6</v>
      </c>
      <c r="C134">
        <v>26</v>
      </c>
      <c r="D134">
        <v>16</v>
      </c>
      <c r="E134">
        <v>133.24</v>
      </c>
      <c r="F134">
        <v>11.5</v>
      </c>
      <c r="G134">
        <v>1.35</v>
      </c>
      <c r="H134">
        <v>0</v>
      </c>
      <c r="I134">
        <v>0</v>
      </c>
      <c r="J134">
        <v>0</v>
      </c>
      <c r="K134">
        <v>0</v>
      </c>
      <c r="L134" s="1">
        <f t="shared" si="8"/>
        <v>3.0294701544104199</v>
      </c>
      <c r="M134">
        <f t="shared" si="9"/>
        <v>0.90312304068595095</v>
      </c>
    </row>
    <row r="135" spans="1:13">
      <c r="A135">
        <v>2012</v>
      </c>
      <c r="B135">
        <v>6</v>
      </c>
      <c r="C135">
        <v>26</v>
      </c>
      <c r="D135">
        <v>17</v>
      </c>
      <c r="E135">
        <v>87.39</v>
      </c>
      <c r="F135">
        <v>5</v>
      </c>
      <c r="G135">
        <v>1.8</v>
      </c>
      <c r="H135">
        <v>0</v>
      </c>
      <c r="I135">
        <v>0</v>
      </c>
      <c r="J135">
        <v>0</v>
      </c>
      <c r="K135">
        <v>0</v>
      </c>
      <c r="L135" s="1">
        <f t="shared" si="8"/>
        <v>1.6826062807253399</v>
      </c>
      <c r="M135">
        <f t="shared" si="9"/>
        <v>0.59234405978343796</v>
      </c>
    </row>
    <row r="136" spans="1:13">
      <c r="A136">
        <v>2012</v>
      </c>
      <c r="B136">
        <v>6</v>
      </c>
      <c r="C136">
        <v>26</v>
      </c>
      <c r="D136">
        <v>18</v>
      </c>
      <c r="E136">
        <v>54.21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f t="shared" si="8"/>
        <v>0</v>
      </c>
      <c r="M136">
        <f t="shared" si="9"/>
        <v>0.36744446138986298</v>
      </c>
    </row>
    <row r="137" spans="1:13">
      <c r="A137">
        <v>2012</v>
      </c>
      <c r="B137">
        <v>6</v>
      </c>
      <c r="C137">
        <v>26</v>
      </c>
      <c r="D137">
        <v>19</v>
      </c>
      <c r="E137">
        <v>112.02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f t="shared" si="8"/>
        <v>0</v>
      </c>
      <c r="M137">
        <f t="shared" si="9"/>
        <v>0.75929032586040401</v>
      </c>
    </row>
    <row r="138" spans="1:13">
      <c r="A138">
        <v>2012</v>
      </c>
      <c r="B138">
        <v>6</v>
      </c>
      <c r="C138">
        <v>26</v>
      </c>
      <c r="D138">
        <v>20</v>
      </c>
      <c r="E138">
        <v>153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f t="shared" si="8"/>
        <v>0</v>
      </c>
      <c r="M138">
        <f t="shared" si="9"/>
        <v>1.0370596309287801</v>
      </c>
    </row>
    <row r="139" spans="1:13">
      <c r="A139">
        <v>2012</v>
      </c>
      <c r="B139">
        <v>6</v>
      </c>
      <c r="C139">
        <v>26</v>
      </c>
      <c r="D139">
        <v>21</v>
      </c>
      <c r="E139">
        <v>128.78</v>
      </c>
      <c r="F139">
        <v>0.5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f t="shared" si="8"/>
        <v>0.114033254442995</v>
      </c>
      <c r="M139">
        <f t="shared" si="9"/>
        <v>0.872892413536001</v>
      </c>
    </row>
    <row r="140" spans="1:13">
      <c r="A140">
        <v>2012</v>
      </c>
      <c r="B140">
        <v>6</v>
      </c>
      <c r="C140">
        <v>26</v>
      </c>
      <c r="D140">
        <v>22</v>
      </c>
      <c r="E140">
        <v>123.95</v>
      </c>
      <c r="F140">
        <v>0</v>
      </c>
      <c r="G140">
        <v>0.5</v>
      </c>
      <c r="H140">
        <v>0</v>
      </c>
      <c r="I140">
        <v>0</v>
      </c>
      <c r="J140">
        <v>0</v>
      </c>
      <c r="K140">
        <v>0</v>
      </c>
      <c r="L140" s="1">
        <f t="shared" si="8"/>
        <v>0.15063159341538701</v>
      </c>
      <c r="M140">
        <f t="shared" si="9"/>
        <v>0.84015386440275897</v>
      </c>
    </row>
    <row r="141" spans="1:13">
      <c r="A141">
        <v>2012</v>
      </c>
      <c r="B141">
        <v>6</v>
      </c>
      <c r="C141">
        <v>26</v>
      </c>
      <c r="D141">
        <v>23</v>
      </c>
      <c r="E141">
        <v>135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f t="shared" si="8"/>
        <v>0</v>
      </c>
      <c r="M141">
        <f t="shared" si="9"/>
        <v>0.91505261552539296</v>
      </c>
    </row>
    <row r="142" spans="1:13">
      <c r="A142">
        <v>2012</v>
      </c>
      <c r="B142">
        <v>6</v>
      </c>
      <c r="C142">
        <v>27</v>
      </c>
      <c r="D142">
        <v>0</v>
      </c>
      <c r="E142">
        <v>131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f t="shared" si="8"/>
        <v>0</v>
      </c>
      <c r="M142">
        <f t="shared" si="9"/>
        <v>0.88793994543575105</v>
      </c>
    </row>
    <row r="143" spans="1:13">
      <c r="A143">
        <v>2012</v>
      </c>
      <c r="B143">
        <v>6</v>
      </c>
      <c r="C143">
        <v>27</v>
      </c>
      <c r="D143">
        <v>1</v>
      </c>
      <c r="E143">
        <v>116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f t="shared" si="8"/>
        <v>0</v>
      </c>
      <c r="M143">
        <f t="shared" si="9"/>
        <v>0.78626743259959697</v>
      </c>
    </row>
    <row r="144" spans="1:13">
      <c r="A144">
        <v>2012</v>
      </c>
      <c r="B144">
        <v>6</v>
      </c>
      <c r="C144">
        <v>27</v>
      </c>
      <c r="D144">
        <v>2</v>
      </c>
      <c r="E144">
        <v>96.6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s="1">
        <f t="shared" si="8"/>
        <v>0</v>
      </c>
      <c r="M144">
        <f t="shared" si="9"/>
        <v>0.65477098266483702</v>
      </c>
    </row>
    <row r="145" spans="1:13">
      <c r="A145">
        <v>2012</v>
      </c>
      <c r="B145">
        <v>6</v>
      </c>
      <c r="C145">
        <v>27</v>
      </c>
      <c r="D145">
        <v>3</v>
      </c>
      <c r="E145">
        <v>142.88999999999999</v>
      </c>
      <c r="F145">
        <v>1.33</v>
      </c>
      <c r="G145">
        <v>0</v>
      </c>
      <c r="H145">
        <v>0</v>
      </c>
      <c r="I145">
        <v>0</v>
      </c>
      <c r="J145">
        <v>0</v>
      </c>
      <c r="K145">
        <v>0.33</v>
      </c>
      <c r="L145" s="1">
        <f t="shared" si="8"/>
        <v>0.34828742066249002</v>
      </c>
      <c r="M145">
        <f t="shared" si="9"/>
        <v>0.96853235727720999</v>
      </c>
    </row>
    <row r="146" spans="1:13">
      <c r="A146">
        <v>2012</v>
      </c>
      <c r="B146">
        <v>6</v>
      </c>
      <c r="C146">
        <v>27</v>
      </c>
      <c r="D146">
        <v>4</v>
      </c>
      <c r="E146">
        <v>161.74</v>
      </c>
      <c r="F146">
        <v>2.67</v>
      </c>
      <c r="G146">
        <v>0</v>
      </c>
      <c r="H146">
        <v>0</v>
      </c>
      <c r="I146">
        <v>0</v>
      </c>
      <c r="J146">
        <v>0</v>
      </c>
      <c r="K146">
        <v>0.67</v>
      </c>
      <c r="L146" s="1">
        <f t="shared" si="8"/>
        <v>0.70021789925760203</v>
      </c>
      <c r="M146">
        <f t="shared" si="9"/>
        <v>1.0963008150746401</v>
      </c>
    </row>
    <row r="147" spans="1:13">
      <c r="A147">
        <v>2012</v>
      </c>
      <c r="B147">
        <v>6</v>
      </c>
      <c r="C147">
        <v>27</v>
      </c>
      <c r="D147">
        <v>5</v>
      </c>
      <c r="E147">
        <v>102.95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f t="shared" si="8"/>
        <v>0</v>
      </c>
      <c r="M147">
        <f t="shared" si="9"/>
        <v>0.69781234643214196</v>
      </c>
    </row>
    <row r="148" spans="1:13">
      <c r="A148">
        <v>2012</v>
      </c>
      <c r="B148">
        <v>6</v>
      </c>
      <c r="C148">
        <v>27</v>
      </c>
      <c r="D148">
        <v>6</v>
      </c>
      <c r="E148">
        <v>90.6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f t="shared" si="8"/>
        <v>0</v>
      </c>
      <c r="M148">
        <f t="shared" si="9"/>
        <v>0.61410197753037499</v>
      </c>
    </row>
    <row r="149" spans="1:13">
      <c r="A149">
        <v>2012</v>
      </c>
      <c r="B149">
        <v>6</v>
      </c>
      <c r="C149">
        <v>27</v>
      </c>
      <c r="D149">
        <v>7</v>
      </c>
      <c r="E149">
        <v>132.38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f t="shared" si="8"/>
        <v>0</v>
      </c>
      <c r="M149">
        <f t="shared" si="9"/>
        <v>0.89729381661667795</v>
      </c>
    </row>
    <row r="150" spans="1:13">
      <c r="A150">
        <v>2012</v>
      </c>
      <c r="B150">
        <v>6</v>
      </c>
      <c r="C150">
        <v>27</v>
      </c>
      <c r="D150">
        <v>8</v>
      </c>
      <c r="E150">
        <v>93.6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f t="shared" si="8"/>
        <v>0</v>
      </c>
      <c r="M150">
        <f t="shared" si="9"/>
        <v>0.634436480097606</v>
      </c>
    </row>
    <row r="151" spans="1:13">
      <c r="A151">
        <v>2012</v>
      </c>
      <c r="B151">
        <v>6</v>
      </c>
      <c r="C151">
        <v>27</v>
      </c>
      <c r="D151">
        <v>9</v>
      </c>
      <c r="E151">
        <v>98.34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0.5</v>
      </c>
      <c r="L151" s="1">
        <f t="shared" si="8"/>
        <v>6.8119642188068E-2</v>
      </c>
      <c r="M151">
        <f t="shared" si="9"/>
        <v>0.66656499415383097</v>
      </c>
    </row>
    <row r="152" spans="1:13">
      <c r="A152">
        <v>2012</v>
      </c>
      <c r="B152">
        <v>6</v>
      </c>
      <c r="C152">
        <v>27</v>
      </c>
      <c r="D152">
        <v>10</v>
      </c>
      <c r="E152">
        <v>116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f t="shared" si="8"/>
        <v>0</v>
      </c>
      <c r="M152">
        <f t="shared" si="9"/>
        <v>0.78626743259959697</v>
      </c>
    </row>
    <row r="153" spans="1:13">
      <c r="A153">
        <v>2012</v>
      </c>
      <c r="B153">
        <v>6</v>
      </c>
      <c r="C153">
        <v>27</v>
      </c>
      <c r="D153">
        <v>11</v>
      </c>
      <c r="E153">
        <v>112.28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f t="shared" si="8"/>
        <v>0</v>
      </c>
      <c r="M153">
        <f t="shared" si="9"/>
        <v>0.76105264941622996</v>
      </c>
    </row>
    <row r="154" spans="1:13">
      <c r="A154">
        <v>2012</v>
      </c>
      <c r="B154">
        <v>6</v>
      </c>
      <c r="C154">
        <v>27</v>
      </c>
      <c r="D154">
        <v>12</v>
      </c>
      <c r="E154">
        <v>101.92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s="1">
        <f t="shared" si="8"/>
        <v>0</v>
      </c>
      <c r="M154">
        <f t="shared" si="9"/>
        <v>0.69083083388405897</v>
      </c>
    </row>
    <row r="155" spans="1:13">
      <c r="A155">
        <v>2012</v>
      </c>
      <c r="B155">
        <v>6</v>
      </c>
      <c r="C155">
        <v>27</v>
      </c>
      <c r="D155">
        <v>13</v>
      </c>
      <c r="E155">
        <v>105.67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0.5</v>
      </c>
      <c r="L155" s="1">
        <f t="shared" si="8"/>
        <v>6.8119642188068E-2</v>
      </c>
      <c r="M155">
        <f t="shared" si="9"/>
        <v>0.71624896209309796</v>
      </c>
    </row>
    <row r="156" spans="1:13">
      <c r="A156">
        <v>2012</v>
      </c>
      <c r="B156">
        <v>6</v>
      </c>
      <c r="C156">
        <v>27</v>
      </c>
      <c r="D156">
        <v>14</v>
      </c>
      <c r="E156">
        <v>106.08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s="1">
        <f t="shared" si="8"/>
        <v>0</v>
      </c>
      <c r="M156">
        <f t="shared" si="9"/>
        <v>0.71902801077728595</v>
      </c>
    </row>
    <row r="157" spans="1:13">
      <c r="A157">
        <v>2012</v>
      </c>
      <c r="B157">
        <v>6</v>
      </c>
      <c r="C157">
        <v>27</v>
      </c>
      <c r="D157">
        <v>15</v>
      </c>
      <c r="E157">
        <v>110.77</v>
      </c>
      <c r="F157">
        <v>0</v>
      </c>
      <c r="G157">
        <v>1.33</v>
      </c>
      <c r="H157">
        <v>0.5</v>
      </c>
      <c r="I157">
        <v>1</v>
      </c>
      <c r="J157">
        <v>0</v>
      </c>
      <c r="K157">
        <v>0</v>
      </c>
      <c r="L157" s="1">
        <f t="shared" si="8"/>
        <v>0.60934310142586301</v>
      </c>
      <c r="M157">
        <f t="shared" si="9"/>
        <v>0.75081761645739098</v>
      </c>
    </row>
    <row r="158" spans="1:13">
      <c r="A158">
        <v>2012</v>
      </c>
      <c r="B158">
        <v>6</v>
      </c>
      <c r="C158">
        <v>27</v>
      </c>
      <c r="D158">
        <v>16</v>
      </c>
      <c r="E158">
        <v>112.23</v>
      </c>
      <c r="F158">
        <v>0</v>
      </c>
      <c r="G158">
        <v>2.67</v>
      </c>
      <c r="H158">
        <v>0</v>
      </c>
      <c r="I158">
        <v>0</v>
      </c>
      <c r="J158">
        <v>0</v>
      </c>
      <c r="K158">
        <v>0</v>
      </c>
      <c r="L158" s="1">
        <f t="shared" si="8"/>
        <v>0.80437270883816703</v>
      </c>
      <c r="M158">
        <f t="shared" si="9"/>
        <v>0.76071374104011003</v>
      </c>
    </row>
    <row r="159" spans="1:13">
      <c r="A159">
        <v>2012</v>
      </c>
      <c r="B159">
        <v>6</v>
      </c>
      <c r="C159">
        <v>27</v>
      </c>
      <c r="D159">
        <v>17</v>
      </c>
      <c r="E159">
        <v>102.64</v>
      </c>
      <c r="F159">
        <v>0</v>
      </c>
      <c r="G159">
        <v>0</v>
      </c>
      <c r="H159">
        <v>0</v>
      </c>
      <c r="I159">
        <v>0.5</v>
      </c>
      <c r="J159">
        <v>0</v>
      </c>
      <c r="K159">
        <v>0</v>
      </c>
      <c r="L159" s="1">
        <f t="shared" si="8"/>
        <v>6.5590067725190507E-2</v>
      </c>
      <c r="M159">
        <f t="shared" si="9"/>
        <v>0.69571111450019496</v>
      </c>
    </row>
    <row r="160" spans="1:13">
      <c r="A160">
        <v>2012</v>
      </c>
      <c r="B160">
        <v>6</v>
      </c>
      <c r="C160">
        <v>27</v>
      </c>
      <c r="D160">
        <v>18</v>
      </c>
      <c r="E160">
        <v>79.599999999999994</v>
      </c>
      <c r="F160">
        <v>0</v>
      </c>
      <c r="G160">
        <v>0.5</v>
      </c>
      <c r="H160">
        <v>0</v>
      </c>
      <c r="I160">
        <v>0</v>
      </c>
      <c r="J160">
        <v>0</v>
      </c>
      <c r="K160">
        <v>0</v>
      </c>
      <c r="L160" s="1">
        <f t="shared" si="8"/>
        <v>0.15063159341538701</v>
      </c>
      <c r="M160">
        <f t="shared" si="9"/>
        <v>0.53954213478386104</v>
      </c>
    </row>
    <row r="161" spans="1:13">
      <c r="A161">
        <v>2012</v>
      </c>
      <c r="B161">
        <v>6</v>
      </c>
      <c r="C161">
        <v>27</v>
      </c>
      <c r="D161">
        <v>19</v>
      </c>
      <c r="E161">
        <v>84.27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s="1">
        <f t="shared" si="8"/>
        <v>0</v>
      </c>
      <c r="M161">
        <f t="shared" si="9"/>
        <v>0.571196177113517</v>
      </c>
    </row>
    <row r="162" spans="1:13">
      <c r="A162">
        <v>2012</v>
      </c>
      <c r="B162">
        <v>6</v>
      </c>
      <c r="C162">
        <v>27</v>
      </c>
      <c r="D162">
        <v>20</v>
      </c>
      <c r="E162">
        <v>116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s="1">
        <f t="shared" si="8"/>
        <v>0</v>
      </c>
      <c r="M162">
        <f t="shared" si="9"/>
        <v>0.78626743259959697</v>
      </c>
    </row>
    <row r="163" spans="1:13">
      <c r="A163">
        <v>2012</v>
      </c>
      <c r="B163">
        <v>6</v>
      </c>
      <c r="C163">
        <v>27</v>
      </c>
      <c r="D163">
        <v>21</v>
      </c>
      <c r="E163">
        <v>225.82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s="1">
        <f t="shared" si="8"/>
        <v>0</v>
      </c>
      <c r="M163">
        <f t="shared" si="9"/>
        <v>1.5306457899107</v>
      </c>
    </row>
    <row r="164" spans="1:13">
      <c r="A164">
        <v>2012</v>
      </c>
      <c r="B164">
        <v>6</v>
      </c>
      <c r="C164">
        <v>27</v>
      </c>
      <c r="D164">
        <v>22</v>
      </c>
      <c r="E164">
        <v>83.27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s="1">
        <f t="shared" si="8"/>
        <v>0</v>
      </c>
      <c r="M164">
        <f t="shared" si="9"/>
        <v>0.56441800959110699</v>
      </c>
    </row>
    <row r="165" spans="1:13">
      <c r="A165">
        <v>2012</v>
      </c>
      <c r="B165">
        <v>6</v>
      </c>
      <c r="C165">
        <v>27</v>
      </c>
      <c r="D165">
        <v>23</v>
      </c>
      <c r="E165">
        <v>66.47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s="1">
        <f t="shared" si="8"/>
        <v>0</v>
      </c>
      <c r="M165">
        <f>E165*3600/(1000*$L$1)</f>
        <v>0.45054479521461399</v>
      </c>
    </row>
    <row r="166" spans="1:13">
      <c r="A166">
        <v>2012</v>
      </c>
      <c r="B166">
        <v>6</v>
      </c>
      <c r="C166">
        <v>28</v>
      </c>
      <c r="D166">
        <v>0</v>
      </c>
      <c r="E166">
        <v>58.1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s="1">
        <f t="shared" si="8"/>
        <v>0</v>
      </c>
      <c r="M166">
        <f>E166*3600/(1000*$L$1)</f>
        <v>0.39381153305203898</v>
      </c>
    </row>
    <row r="167" spans="1:13">
      <c r="A167">
        <v>2012</v>
      </c>
      <c r="B167">
        <v>6</v>
      </c>
      <c r="C167">
        <v>28</v>
      </c>
      <c r="D167">
        <v>1</v>
      </c>
      <c r="E167">
        <v>43.5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s="1">
        <f t="shared" si="8"/>
        <v>0</v>
      </c>
      <c r="M167">
        <f>E167*3600/(1000*$L$1)</f>
        <v>0.29485028722484902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M50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2013</v>
      </c>
      <c r="B4">
        <v>4</v>
      </c>
      <c r="C4">
        <v>5</v>
      </c>
      <c r="D4">
        <v>7</v>
      </c>
      <c r="E4">
        <v>36.299999999999997</v>
      </c>
      <c r="F4">
        <v>8.5</v>
      </c>
      <c r="G4">
        <v>1</v>
      </c>
      <c r="H4">
        <v>2.5</v>
      </c>
      <c r="I4">
        <v>1.33</v>
      </c>
      <c r="J4">
        <v>3</v>
      </c>
      <c r="K4">
        <v>18</v>
      </c>
      <c r="L4" s="1">
        <f>F4*$F$2+G4*$G$2+H4*$H$2+I4*$I$2+J4*$J$2+K4*$K$2</f>
        <v>5.3988749371607403</v>
      </c>
      <c r="M4">
        <f>E4*3600/(1000*$L$1)</f>
        <v>0.246047481063494</v>
      </c>
    </row>
    <row r="5" spans="1:13">
      <c r="A5">
        <v>2013</v>
      </c>
      <c r="B5">
        <v>4</v>
      </c>
      <c r="C5">
        <v>5</v>
      </c>
      <c r="D5">
        <v>8</v>
      </c>
      <c r="E5">
        <v>37.1</v>
      </c>
      <c r="F5">
        <v>10.5</v>
      </c>
      <c r="G5">
        <v>29</v>
      </c>
      <c r="H5">
        <v>15</v>
      </c>
      <c r="I5">
        <v>10.5</v>
      </c>
      <c r="J5">
        <v>10.5</v>
      </c>
      <c r="K5">
        <v>12</v>
      </c>
      <c r="L5" s="1">
        <f t="shared" ref="L5:L50" si="0">F5*$F$2+G5*$G$2+H5*$H$2+I5*$I$2+J5*$J$2+K5*$K$2</f>
        <v>16.9750742303485</v>
      </c>
      <c r="M5">
        <f t="shared" ref="M5:M50" si="1">E5*3600/(1000*$L$1)</f>
        <v>0.25147001508142303</v>
      </c>
    </row>
    <row r="6" spans="1:13">
      <c r="A6">
        <v>2013</v>
      </c>
      <c r="B6">
        <v>4</v>
      </c>
      <c r="C6">
        <v>5</v>
      </c>
      <c r="D6">
        <v>9</v>
      </c>
      <c r="E6">
        <v>41.84</v>
      </c>
      <c r="F6">
        <v>17</v>
      </c>
      <c r="G6">
        <v>17.5</v>
      </c>
      <c r="H6">
        <v>13.5</v>
      </c>
      <c r="I6">
        <v>11.5</v>
      </c>
      <c r="J6">
        <v>7.5</v>
      </c>
      <c r="K6">
        <v>10</v>
      </c>
      <c r="L6" s="1">
        <f t="shared" si="0"/>
        <v>14.4743775853531</v>
      </c>
      <c r="M6">
        <f t="shared" si="1"/>
        <v>0.28359852913764799</v>
      </c>
    </row>
    <row r="7" spans="1:13">
      <c r="A7">
        <v>2013</v>
      </c>
      <c r="B7">
        <v>4</v>
      </c>
      <c r="C7">
        <v>5</v>
      </c>
      <c r="D7">
        <v>10</v>
      </c>
      <c r="E7">
        <v>56.3</v>
      </c>
      <c r="F7">
        <v>4</v>
      </c>
      <c r="G7">
        <v>7</v>
      </c>
      <c r="H7">
        <v>7</v>
      </c>
      <c r="I7">
        <v>5.5</v>
      </c>
      <c r="J7">
        <v>5.5</v>
      </c>
      <c r="K7">
        <v>4.5</v>
      </c>
      <c r="L7" s="1">
        <f t="shared" si="0"/>
        <v>5.7060045150127001</v>
      </c>
      <c r="M7">
        <f t="shared" si="1"/>
        <v>0.381610831511701</v>
      </c>
    </row>
    <row r="8" spans="1:13">
      <c r="A8">
        <v>2013</v>
      </c>
      <c r="B8">
        <v>4</v>
      </c>
      <c r="C8">
        <v>5</v>
      </c>
      <c r="D8">
        <v>11</v>
      </c>
      <c r="E8">
        <v>74.2</v>
      </c>
      <c r="F8">
        <v>0</v>
      </c>
      <c r="G8">
        <v>0.5</v>
      </c>
      <c r="H8">
        <v>1.5</v>
      </c>
      <c r="I8">
        <v>0.5</v>
      </c>
      <c r="J8">
        <v>0.5</v>
      </c>
      <c r="K8">
        <v>0</v>
      </c>
      <c r="L8" s="1">
        <f t="shared" si="0"/>
        <v>0.472812958350044</v>
      </c>
      <c r="M8">
        <f t="shared" si="1"/>
        <v>0.50294003016284505</v>
      </c>
    </row>
    <row r="9" spans="1:13">
      <c r="A9">
        <v>2013</v>
      </c>
      <c r="B9">
        <v>4</v>
      </c>
      <c r="C9">
        <v>5</v>
      </c>
      <c r="D9">
        <v>12</v>
      </c>
      <c r="E9">
        <v>151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1">
        <f t="shared" si="0"/>
        <v>0</v>
      </c>
      <c r="M9">
        <f t="shared" si="1"/>
        <v>1.0235032958839601</v>
      </c>
    </row>
    <row r="10" spans="1:13">
      <c r="A10">
        <v>2013</v>
      </c>
      <c r="B10">
        <v>4</v>
      </c>
      <c r="C10">
        <v>5</v>
      </c>
      <c r="D10">
        <v>13</v>
      </c>
      <c r="E10">
        <v>218.51</v>
      </c>
      <c r="F10">
        <v>1.5</v>
      </c>
      <c r="G10">
        <v>1</v>
      </c>
      <c r="H10">
        <v>0.35</v>
      </c>
      <c r="I10">
        <v>3.5</v>
      </c>
      <c r="J10">
        <v>1</v>
      </c>
      <c r="K10">
        <v>0.5</v>
      </c>
      <c r="L10" s="1">
        <f t="shared" si="0"/>
        <v>1.27313614514316</v>
      </c>
      <c r="M10">
        <f t="shared" si="1"/>
        <v>1.4810973853218801</v>
      </c>
    </row>
    <row r="11" spans="1:13">
      <c r="A11">
        <v>2013</v>
      </c>
      <c r="B11">
        <v>4</v>
      </c>
      <c r="C11">
        <v>5</v>
      </c>
      <c r="D11">
        <v>14</v>
      </c>
      <c r="E11">
        <v>234.67</v>
      </c>
      <c r="F11">
        <v>5</v>
      </c>
      <c r="G11">
        <v>2</v>
      </c>
      <c r="H11">
        <v>0.7</v>
      </c>
      <c r="I11">
        <v>3.5</v>
      </c>
      <c r="J11">
        <v>2</v>
      </c>
      <c r="K11">
        <v>4.5</v>
      </c>
      <c r="L11" s="1">
        <f t="shared" si="0"/>
        <v>3.0201123292984402</v>
      </c>
      <c r="M11">
        <f t="shared" si="1"/>
        <v>1.59063257248403</v>
      </c>
    </row>
    <row r="12" spans="1:13">
      <c r="A12">
        <v>2013</v>
      </c>
      <c r="B12">
        <v>4</v>
      </c>
      <c r="C12">
        <v>5</v>
      </c>
      <c r="D12">
        <v>15</v>
      </c>
      <c r="E12">
        <v>225.2</v>
      </c>
      <c r="F12">
        <v>5.5</v>
      </c>
      <c r="G12">
        <v>5.5</v>
      </c>
      <c r="H12">
        <v>1.05</v>
      </c>
      <c r="I12">
        <v>3</v>
      </c>
      <c r="J12">
        <v>6</v>
      </c>
      <c r="K12">
        <v>2</v>
      </c>
      <c r="L12" s="1">
        <f t="shared" si="0"/>
        <v>4.0297566261294602</v>
      </c>
      <c r="M12">
        <f t="shared" si="1"/>
        <v>1.5264433260468</v>
      </c>
    </row>
    <row r="13" spans="1:13">
      <c r="A13">
        <v>2013</v>
      </c>
      <c r="B13">
        <v>4</v>
      </c>
      <c r="C13">
        <v>5</v>
      </c>
      <c r="D13">
        <v>16</v>
      </c>
      <c r="E13">
        <v>163.31</v>
      </c>
      <c r="F13">
        <v>4</v>
      </c>
      <c r="G13">
        <v>0.76</v>
      </c>
      <c r="H13">
        <v>1.4</v>
      </c>
      <c r="I13">
        <v>0</v>
      </c>
      <c r="J13">
        <v>0.5</v>
      </c>
      <c r="K13">
        <v>0</v>
      </c>
      <c r="L13" s="1">
        <f t="shared" si="0"/>
        <v>1.3823207692467001</v>
      </c>
      <c r="M13">
        <f t="shared" si="1"/>
        <v>1.1069425380848299</v>
      </c>
    </row>
    <row r="14" spans="1:13">
      <c r="A14">
        <v>2013</v>
      </c>
      <c r="B14">
        <v>4</v>
      </c>
      <c r="C14">
        <v>5</v>
      </c>
      <c r="D14">
        <v>17</v>
      </c>
      <c r="E14">
        <v>116.58</v>
      </c>
      <c r="F14">
        <v>0.5</v>
      </c>
      <c r="G14">
        <v>0.24</v>
      </c>
      <c r="H14">
        <v>0</v>
      </c>
      <c r="I14">
        <v>0.5</v>
      </c>
      <c r="J14">
        <v>0</v>
      </c>
      <c r="K14">
        <v>0.5</v>
      </c>
      <c r="L14" s="1">
        <f t="shared" si="0"/>
        <v>0.32004612919563902</v>
      </c>
      <c r="M14">
        <f t="shared" si="1"/>
        <v>0.79019876976259495</v>
      </c>
    </row>
    <row r="15" spans="1:13">
      <c r="A15">
        <v>2013</v>
      </c>
      <c r="B15">
        <v>4</v>
      </c>
      <c r="C15">
        <v>5</v>
      </c>
      <c r="D15">
        <v>18</v>
      </c>
      <c r="E15">
        <v>118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1">
        <f t="shared" si="0"/>
        <v>0</v>
      </c>
      <c r="M15">
        <f t="shared" si="1"/>
        <v>0.79982376764441698</v>
      </c>
    </row>
    <row r="16" spans="1:13">
      <c r="A16">
        <v>2013</v>
      </c>
      <c r="B16">
        <v>4</v>
      </c>
      <c r="C16">
        <v>5</v>
      </c>
      <c r="D16">
        <v>19</v>
      </c>
      <c r="E16">
        <v>122.71</v>
      </c>
      <c r="F16">
        <v>0</v>
      </c>
      <c r="G16">
        <v>0</v>
      </c>
      <c r="H16">
        <v>0</v>
      </c>
      <c r="I16">
        <v>0</v>
      </c>
      <c r="J16">
        <v>0.5</v>
      </c>
      <c r="K16">
        <v>0</v>
      </c>
      <c r="L16" s="1">
        <f t="shared" si="0"/>
        <v>2.4142514737807302E-2</v>
      </c>
      <c r="M16">
        <f t="shared" si="1"/>
        <v>0.83174893667496996</v>
      </c>
    </row>
    <row r="17" spans="1:13">
      <c r="A17">
        <v>2013</v>
      </c>
      <c r="B17">
        <v>4</v>
      </c>
      <c r="C17">
        <v>5</v>
      </c>
      <c r="D17">
        <v>20</v>
      </c>
      <c r="E17">
        <v>105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">
        <f t="shared" si="0"/>
        <v>0</v>
      </c>
      <c r="M17">
        <f t="shared" si="1"/>
        <v>0.71170758985308302</v>
      </c>
    </row>
    <row r="18" spans="1:13">
      <c r="A18">
        <v>2013</v>
      </c>
      <c r="B18">
        <v>4</v>
      </c>
      <c r="C18">
        <v>5</v>
      </c>
      <c r="D18">
        <v>21</v>
      </c>
      <c r="E18">
        <v>117.95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1">
        <f t="shared" si="0"/>
        <v>0</v>
      </c>
      <c r="M18">
        <f t="shared" si="1"/>
        <v>0.79948485926829704</v>
      </c>
    </row>
    <row r="19" spans="1:13">
      <c r="A19">
        <v>2013</v>
      </c>
      <c r="B19">
        <v>4</v>
      </c>
      <c r="C19">
        <v>5</v>
      </c>
      <c r="D19">
        <v>22</v>
      </c>
      <c r="E19">
        <v>97.7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1">
        <f t="shared" si="0"/>
        <v>0</v>
      </c>
      <c r="M19">
        <f t="shared" si="1"/>
        <v>0.66222696693948802</v>
      </c>
    </row>
    <row r="20" spans="1:13">
      <c r="A20">
        <v>2013</v>
      </c>
      <c r="B20">
        <v>4</v>
      </c>
      <c r="C20">
        <v>5</v>
      </c>
      <c r="D20">
        <v>23</v>
      </c>
      <c r="E20">
        <v>83.8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f t="shared" si="0"/>
        <v>0</v>
      </c>
      <c r="M20">
        <f t="shared" si="1"/>
        <v>0.56801043837798404</v>
      </c>
    </row>
    <row r="21" spans="1:13">
      <c r="A21">
        <v>2013</v>
      </c>
      <c r="B21">
        <v>4</v>
      </c>
      <c r="C21">
        <v>6</v>
      </c>
      <c r="D21">
        <v>0</v>
      </c>
      <c r="E21">
        <v>96.6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f t="shared" si="0"/>
        <v>0</v>
      </c>
      <c r="M21">
        <f t="shared" si="1"/>
        <v>0.65477098266483702</v>
      </c>
    </row>
    <row r="22" spans="1:13">
      <c r="A22">
        <v>2013</v>
      </c>
      <c r="B22">
        <v>4</v>
      </c>
      <c r="C22">
        <v>6</v>
      </c>
      <c r="D22">
        <v>1</v>
      </c>
      <c r="E22">
        <v>80.849999999999994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f t="shared" si="0"/>
        <v>0</v>
      </c>
      <c r="M22">
        <f t="shared" si="1"/>
        <v>0.54801484418687396</v>
      </c>
    </row>
    <row r="23" spans="1:13">
      <c r="A23">
        <v>2013</v>
      </c>
      <c r="B23">
        <v>4</v>
      </c>
      <c r="C23">
        <v>6</v>
      </c>
      <c r="D23">
        <v>2</v>
      </c>
      <c r="E23">
        <v>70.09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1">
        <f t="shared" si="0"/>
        <v>0</v>
      </c>
      <c r="M23">
        <f t="shared" si="1"/>
        <v>0.47508176164573901</v>
      </c>
    </row>
    <row r="24" spans="1:13">
      <c r="A24">
        <v>2013</v>
      </c>
      <c r="B24">
        <v>4</v>
      </c>
      <c r="C24">
        <v>6</v>
      </c>
      <c r="D24">
        <v>3</v>
      </c>
      <c r="E24">
        <v>71.66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1">
        <f t="shared" si="0"/>
        <v>0</v>
      </c>
      <c r="M24">
        <f t="shared" si="1"/>
        <v>0.48572348465592302</v>
      </c>
    </row>
    <row r="25" spans="1:13">
      <c r="A25">
        <v>2013</v>
      </c>
      <c r="B25">
        <v>4</v>
      </c>
      <c r="C25">
        <v>6</v>
      </c>
      <c r="D25">
        <v>4</v>
      </c>
      <c r="E25">
        <v>70.349999999999994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f t="shared" si="0"/>
        <v>0</v>
      </c>
      <c r="M25">
        <f t="shared" si="1"/>
        <v>0.47684408520156601</v>
      </c>
    </row>
    <row r="26" spans="1:13">
      <c r="A26">
        <v>2013</v>
      </c>
      <c r="B26">
        <v>4</v>
      </c>
      <c r="C26">
        <v>6</v>
      </c>
      <c r="D26">
        <v>5</v>
      </c>
      <c r="E26">
        <v>57.88</v>
      </c>
      <c r="F26">
        <v>0.25</v>
      </c>
      <c r="G26">
        <v>0</v>
      </c>
      <c r="H26">
        <v>0</v>
      </c>
      <c r="I26">
        <v>0</v>
      </c>
      <c r="J26">
        <v>0</v>
      </c>
      <c r="K26">
        <v>0</v>
      </c>
      <c r="L26" s="1">
        <f t="shared" si="0"/>
        <v>5.70166272214973E-2</v>
      </c>
      <c r="M26">
        <f t="shared" si="1"/>
        <v>0.39232033619710899</v>
      </c>
    </row>
    <row r="27" spans="1:13">
      <c r="A27">
        <v>2013</v>
      </c>
      <c r="B27">
        <v>4</v>
      </c>
      <c r="C27">
        <v>6</v>
      </c>
      <c r="D27">
        <v>6</v>
      </c>
      <c r="E27">
        <v>48.48</v>
      </c>
      <c r="F27">
        <v>0.5</v>
      </c>
      <c r="G27">
        <v>0</v>
      </c>
      <c r="H27">
        <v>0</v>
      </c>
      <c r="I27">
        <v>0</v>
      </c>
      <c r="J27">
        <v>0</v>
      </c>
      <c r="K27">
        <v>0</v>
      </c>
      <c r="L27" s="1">
        <f t="shared" si="0"/>
        <v>0.114033254442995</v>
      </c>
      <c r="M27">
        <f t="shared" si="1"/>
        <v>0.32860556148645198</v>
      </c>
    </row>
    <row r="28" spans="1:13">
      <c r="A28">
        <v>2013</v>
      </c>
      <c r="B28">
        <v>4</v>
      </c>
      <c r="C28">
        <v>6</v>
      </c>
      <c r="D28">
        <v>7</v>
      </c>
      <c r="E28">
        <v>55.86</v>
      </c>
      <c r="F28">
        <v>0.75</v>
      </c>
      <c r="G28">
        <v>0</v>
      </c>
      <c r="H28">
        <v>0</v>
      </c>
      <c r="I28">
        <v>0</v>
      </c>
      <c r="J28">
        <v>0</v>
      </c>
      <c r="K28">
        <v>0</v>
      </c>
      <c r="L28" s="1">
        <f t="shared" si="0"/>
        <v>0.171049881664492</v>
      </c>
      <c r="M28">
        <f t="shared" si="1"/>
        <v>0.37862843780184002</v>
      </c>
    </row>
    <row r="29" spans="1:13">
      <c r="A29">
        <v>2013</v>
      </c>
      <c r="B29">
        <v>4</v>
      </c>
      <c r="C29">
        <v>6</v>
      </c>
      <c r="D29">
        <v>8</v>
      </c>
      <c r="E29">
        <v>67.3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f t="shared" si="0"/>
        <v>0</v>
      </c>
      <c r="M29">
        <f t="shared" si="1"/>
        <v>0.456170674258214</v>
      </c>
    </row>
    <row r="30" spans="1:13">
      <c r="A30">
        <v>2013</v>
      </c>
      <c r="B30">
        <v>4</v>
      </c>
      <c r="C30">
        <v>6</v>
      </c>
      <c r="D30">
        <v>9</v>
      </c>
      <c r="E30">
        <v>67.45</v>
      </c>
      <c r="F30">
        <v>0.5</v>
      </c>
      <c r="G30">
        <v>0</v>
      </c>
      <c r="H30">
        <v>0.33</v>
      </c>
      <c r="I30">
        <v>0</v>
      </c>
      <c r="J30">
        <v>0</v>
      </c>
      <c r="K30">
        <v>0</v>
      </c>
      <c r="L30" s="1">
        <f t="shared" si="0"/>
        <v>0.165171986586759</v>
      </c>
      <c r="M30">
        <f t="shared" si="1"/>
        <v>0.45718739938657599</v>
      </c>
    </row>
    <row r="31" spans="1:13">
      <c r="A31">
        <v>2013</v>
      </c>
      <c r="B31">
        <v>4</v>
      </c>
      <c r="C31">
        <v>6</v>
      </c>
      <c r="D31">
        <v>10</v>
      </c>
      <c r="E31">
        <v>60</v>
      </c>
      <c r="F31">
        <v>0</v>
      </c>
      <c r="G31">
        <v>0</v>
      </c>
      <c r="H31">
        <v>0.67</v>
      </c>
      <c r="I31">
        <v>0</v>
      </c>
      <c r="J31">
        <v>0</v>
      </c>
      <c r="K31">
        <v>0</v>
      </c>
      <c r="L31" s="1">
        <f t="shared" si="0"/>
        <v>0.103827122837341</v>
      </c>
      <c r="M31">
        <f t="shared" si="1"/>
        <v>0.406690051344619</v>
      </c>
    </row>
    <row r="32" spans="1:13">
      <c r="A32">
        <v>2013</v>
      </c>
      <c r="B32">
        <v>4</v>
      </c>
      <c r="C32">
        <v>6</v>
      </c>
      <c r="D32">
        <v>11</v>
      </c>
      <c r="E32">
        <v>52.49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s="1">
        <f t="shared" si="0"/>
        <v>0</v>
      </c>
      <c r="M32">
        <f t="shared" si="1"/>
        <v>0.35578601325131698</v>
      </c>
    </row>
    <row r="33" spans="1:13">
      <c r="A33">
        <v>2013</v>
      </c>
      <c r="B33">
        <v>4</v>
      </c>
      <c r="C33">
        <v>6</v>
      </c>
      <c r="D33">
        <v>12</v>
      </c>
      <c r="E33">
        <v>48.4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">
        <f t="shared" si="0"/>
        <v>0</v>
      </c>
      <c r="M33">
        <f t="shared" si="1"/>
        <v>0.328063308084659</v>
      </c>
    </row>
    <row r="34" spans="1:13">
      <c r="A34">
        <v>2013</v>
      </c>
      <c r="B34">
        <v>4</v>
      </c>
      <c r="C34">
        <v>6</v>
      </c>
      <c r="D34">
        <v>13</v>
      </c>
      <c r="E34">
        <v>48.4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1">
        <f t="shared" si="0"/>
        <v>0</v>
      </c>
      <c r="M34">
        <f t="shared" si="1"/>
        <v>0.328063308084659</v>
      </c>
    </row>
    <row r="35" spans="1:13">
      <c r="A35">
        <v>2013</v>
      </c>
      <c r="B35">
        <v>4</v>
      </c>
      <c r="C35">
        <v>6</v>
      </c>
      <c r="D35">
        <v>14</v>
      </c>
      <c r="E35">
        <v>47.68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1">
        <f t="shared" si="0"/>
        <v>0</v>
      </c>
      <c r="M35">
        <f t="shared" si="1"/>
        <v>0.32318302746852401</v>
      </c>
    </row>
    <row r="36" spans="1:13">
      <c r="A36">
        <v>2013</v>
      </c>
      <c r="B36">
        <v>4</v>
      </c>
      <c r="C36">
        <v>6</v>
      </c>
      <c r="D36">
        <v>15</v>
      </c>
      <c r="E36">
        <v>47.64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1">
        <f t="shared" si="0"/>
        <v>0</v>
      </c>
      <c r="M36">
        <f t="shared" si="1"/>
        <v>0.32291190076762699</v>
      </c>
    </row>
    <row r="37" spans="1:13">
      <c r="A37">
        <v>2013</v>
      </c>
      <c r="B37">
        <v>4</v>
      </c>
      <c r="C37">
        <v>6</v>
      </c>
      <c r="D37">
        <v>16</v>
      </c>
      <c r="E37">
        <v>48.62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1">
        <f t="shared" si="0"/>
        <v>0</v>
      </c>
      <c r="M37">
        <f t="shared" si="1"/>
        <v>0.32955450493958999</v>
      </c>
    </row>
    <row r="38" spans="1:13">
      <c r="A38">
        <v>2013</v>
      </c>
      <c r="B38">
        <v>4</v>
      </c>
      <c r="C38">
        <v>6</v>
      </c>
      <c r="D38">
        <v>17</v>
      </c>
      <c r="E38">
        <v>49.08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1">
        <f t="shared" si="0"/>
        <v>0</v>
      </c>
      <c r="M38">
        <f t="shared" si="1"/>
        <v>0.33267246199989797</v>
      </c>
    </row>
    <row r="39" spans="1:13">
      <c r="A39">
        <v>2013</v>
      </c>
      <c r="B39">
        <v>4</v>
      </c>
      <c r="C39">
        <v>6</v>
      </c>
      <c r="D39">
        <v>18</v>
      </c>
      <c r="E39">
        <v>47.5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1">
        <f t="shared" si="0"/>
        <v>0</v>
      </c>
      <c r="M39">
        <f t="shared" si="1"/>
        <v>0.32196295731448998</v>
      </c>
    </row>
    <row r="40" spans="1:13">
      <c r="A40">
        <v>2013</v>
      </c>
      <c r="B40">
        <v>4</v>
      </c>
      <c r="C40">
        <v>6</v>
      </c>
      <c r="D40">
        <v>19</v>
      </c>
      <c r="E40">
        <v>45.64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1">
        <f t="shared" si="0"/>
        <v>0</v>
      </c>
      <c r="M40">
        <f t="shared" si="1"/>
        <v>0.30935556572280698</v>
      </c>
    </row>
    <row r="41" spans="1:13">
      <c r="A41">
        <v>2013</v>
      </c>
      <c r="B41">
        <v>4</v>
      </c>
      <c r="C41">
        <v>6</v>
      </c>
      <c r="D41">
        <v>20</v>
      </c>
      <c r="E41">
        <v>46.32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1">
        <f t="shared" si="0"/>
        <v>0</v>
      </c>
      <c r="M41">
        <f t="shared" si="1"/>
        <v>0.31396471963804601</v>
      </c>
    </row>
    <row r="42" spans="1:13">
      <c r="A42">
        <v>2013</v>
      </c>
      <c r="B42">
        <v>4</v>
      </c>
      <c r="C42">
        <v>6</v>
      </c>
      <c r="D42">
        <v>21</v>
      </c>
      <c r="E42">
        <v>46.7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1">
        <f t="shared" si="0"/>
        <v>0</v>
      </c>
      <c r="M42">
        <f t="shared" si="1"/>
        <v>0.31654042329656201</v>
      </c>
    </row>
    <row r="43" spans="1:13">
      <c r="A43">
        <v>2013</v>
      </c>
      <c r="B43">
        <v>4</v>
      </c>
      <c r="C43">
        <v>6</v>
      </c>
      <c r="D43">
        <v>22</v>
      </c>
      <c r="E43">
        <v>45.26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1">
        <f t="shared" si="0"/>
        <v>0</v>
      </c>
      <c r="M43">
        <f t="shared" si="1"/>
        <v>0.30677986206429098</v>
      </c>
    </row>
    <row r="44" spans="1:13">
      <c r="A44">
        <v>2013</v>
      </c>
      <c r="B44">
        <v>4</v>
      </c>
      <c r="C44">
        <v>6</v>
      </c>
      <c r="D44">
        <v>23</v>
      </c>
      <c r="E44">
        <v>45.72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1">
        <f t="shared" si="0"/>
        <v>0</v>
      </c>
      <c r="M44">
        <f t="shared" si="1"/>
        <v>0.30989781912460002</v>
      </c>
    </row>
    <row r="45" spans="1:13">
      <c r="A45">
        <v>2013</v>
      </c>
      <c r="B45">
        <v>4</v>
      </c>
      <c r="C45">
        <v>7</v>
      </c>
      <c r="D45">
        <v>0</v>
      </c>
      <c r="E45">
        <v>48.1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1">
        <f t="shared" si="0"/>
        <v>0</v>
      </c>
      <c r="M45">
        <f t="shared" si="1"/>
        <v>0.32602985782793598</v>
      </c>
    </row>
    <row r="46" spans="1:13">
      <c r="A46">
        <v>2013</v>
      </c>
      <c r="B46">
        <v>4</v>
      </c>
      <c r="C46">
        <v>7</v>
      </c>
      <c r="D46">
        <v>1</v>
      </c>
      <c r="E46">
        <v>47.89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1">
        <f t="shared" si="0"/>
        <v>0</v>
      </c>
      <c r="M46">
        <f t="shared" si="1"/>
        <v>0.32460644264823002</v>
      </c>
    </row>
    <row r="47" spans="1:13">
      <c r="A47">
        <v>2013</v>
      </c>
      <c r="B47">
        <v>4</v>
      </c>
      <c r="C47">
        <v>7</v>
      </c>
      <c r="D47">
        <v>2</v>
      </c>
      <c r="E47">
        <v>40.67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1">
        <f t="shared" si="0"/>
        <v>0</v>
      </c>
      <c r="M47">
        <f t="shared" si="1"/>
        <v>0.27566807313642799</v>
      </c>
    </row>
    <row r="48" spans="1:13">
      <c r="A48">
        <v>2013</v>
      </c>
      <c r="B48">
        <v>4</v>
      </c>
      <c r="C48">
        <v>7</v>
      </c>
      <c r="D48">
        <v>3</v>
      </c>
      <c r="E48">
        <v>27.76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1">
        <f t="shared" si="0"/>
        <v>0</v>
      </c>
      <c r="M48">
        <f t="shared" si="1"/>
        <v>0.18816193042210999</v>
      </c>
    </row>
    <row r="49" spans="1:13">
      <c r="A49">
        <v>2013</v>
      </c>
      <c r="B49">
        <v>4</v>
      </c>
      <c r="C49">
        <v>7</v>
      </c>
      <c r="D49">
        <v>4</v>
      </c>
      <c r="E49">
        <v>17.11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1">
        <f t="shared" si="0"/>
        <v>0</v>
      </c>
      <c r="M49">
        <f t="shared" si="1"/>
        <v>0.115974446308441</v>
      </c>
    </row>
    <row r="50" spans="1:13">
      <c r="A50">
        <v>2013</v>
      </c>
      <c r="B50">
        <v>4</v>
      </c>
      <c r="C50">
        <v>7</v>
      </c>
      <c r="D50">
        <v>5</v>
      </c>
      <c r="E50">
        <v>17.02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1">
        <f t="shared" si="0"/>
        <v>0</v>
      </c>
      <c r="M50">
        <f t="shared" si="1"/>
        <v>0.115364411231424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M56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2013</v>
      </c>
      <c r="B4">
        <v>5</v>
      </c>
      <c r="C4">
        <v>15</v>
      </c>
      <c r="D4">
        <v>3</v>
      </c>
      <c r="E4">
        <v>9.89</v>
      </c>
      <c r="F4">
        <v>0</v>
      </c>
      <c r="G4">
        <v>1</v>
      </c>
      <c r="H4">
        <v>0</v>
      </c>
      <c r="I4">
        <v>2</v>
      </c>
      <c r="J4">
        <v>4</v>
      </c>
      <c r="K4">
        <v>0.5</v>
      </c>
      <c r="L4" s="1">
        <f>F4*$F$2+G4*$G$2+H4*$H$2+I4*$I$2+J4*$J$2+K4*$K$2</f>
        <v>0.82488321782206198</v>
      </c>
      <c r="M4">
        <f>E4*3600/(1000*$L$1)</f>
        <v>6.7036076796638006E-2</v>
      </c>
    </row>
    <row r="5" spans="1:13">
      <c r="A5">
        <v>2013</v>
      </c>
      <c r="B5">
        <v>5</v>
      </c>
      <c r="C5">
        <v>15</v>
      </c>
      <c r="D5">
        <v>4</v>
      </c>
      <c r="E5">
        <v>11.42</v>
      </c>
      <c r="F5">
        <v>0</v>
      </c>
      <c r="G5">
        <v>0</v>
      </c>
      <c r="H5">
        <v>0.3</v>
      </c>
      <c r="I5">
        <v>0</v>
      </c>
      <c r="J5">
        <v>0.5</v>
      </c>
      <c r="K5">
        <v>0</v>
      </c>
      <c r="L5" s="1">
        <f t="shared" ref="L5:L36" si="0">F5*$F$2+G5*$G$2+H5*$H$2+I5*$I$2+J5*$J$2+K5*$K$2</f>
        <v>7.0632271232139096E-2</v>
      </c>
      <c r="M5">
        <f t="shared" ref="M5:M36" si="1">E5*3600/(1000*$L$1)</f>
        <v>7.7406673105925805E-2</v>
      </c>
    </row>
    <row r="6" spans="1:13">
      <c r="A6">
        <v>2013</v>
      </c>
      <c r="B6">
        <v>5</v>
      </c>
      <c r="C6">
        <v>15</v>
      </c>
      <c r="D6">
        <v>5</v>
      </c>
      <c r="E6">
        <v>18.98</v>
      </c>
      <c r="F6">
        <v>2.5</v>
      </c>
      <c r="G6">
        <v>0</v>
      </c>
      <c r="H6">
        <v>0.6</v>
      </c>
      <c r="I6">
        <v>0</v>
      </c>
      <c r="J6">
        <v>0</v>
      </c>
      <c r="K6">
        <v>1</v>
      </c>
      <c r="L6" s="1">
        <f t="shared" si="0"/>
        <v>0.79938506957977196</v>
      </c>
      <c r="M6">
        <f t="shared" si="1"/>
        <v>0.12864961957534801</v>
      </c>
    </row>
    <row r="7" spans="1:13">
      <c r="A7">
        <v>2013</v>
      </c>
      <c r="B7">
        <v>5</v>
      </c>
      <c r="C7">
        <v>15</v>
      </c>
      <c r="D7">
        <v>6</v>
      </c>
      <c r="E7">
        <v>29.68</v>
      </c>
      <c r="F7">
        <v>37.5</v>
      </c>
      <c r="G7">
        <v>0</v>
      </c>
      <c r="H7">
        <v>0.9</v>
      </c>
      <c r="I7">
        <v>3</v>
      </c>
      <c r="J7">
        <v>4.5</v>
      </c>
      <c r="K7">
        <v>34.5</v>
      </c>
      <c r="L7" s="1">
        <f t="shared" si="0"/>
        <v>14.0030417026757</v>
      </c>
      <c r="M7">
        <f t="shared" si="1"/>
        <v>0.20117601206513799</v>
      </c>
    </row>
    <row r="8" spans="1:13">
      <c r="A8">
        <v>2013</v>
      </c>
      <c r="B8">
        <v>5</v>
      </c>
      <c r="C8">
        <v>15</v>
      </c>
      <c r="D8">
        <v>7</v>
      </c>
      <c r="E8">
        <v>40.229999999999997</v>
      </c>
      <c r="F8">
        <v>7</v>
      </c>
      <c r="G8">
        <v>3</v>
      </c>
      <c r="H8">
        <v>1.2</v>
      </c>
      <c r="I8">
        <v>2</v>
      </c>
      <c r="J8">
        <v>8.5</v>
      </c>
      <c r="K8">
        <v>15.5</v>
      </c>
      <c r="L8" s="1">
        <f t="shared" si="0"/>
        <v>5.4707060779451702</v>
      </c>
      <c r="M8">
        <f t="shared" si="1"/>
        <v>0.27268567942656702</v>
      </c>
    </row>
    <row r="9" spans="1:13">
      <c r="A9">
        <v>2013</v>
      </c>
      <c r="B9">
        <v>5</v>
      </c>
      <c r="C9">
        <v>15</v>
      </c>
      <c r="D9">
        <v>8</v>
      </c>
      <c r="E9">
        <v>40.200000000000003</v>
      </c>
      <c r="F9">
        <v>23</v>
      </c>
      <c r="G9">
        <v>1.5</v>
      </c>
      <c r="H9">
        <v>1.5</v>
      </c>
      <c r="I9">
        <v>21</v>
      </c>
      <c r="J9">
        <v>16.5</v>
      </c>
      <c r="K9">
        <v>6</v>
      </c>
      <c r="L9" s="1">
        <f t="shared" si="0"/>
        <v>10.298794804158</v>
      </c>
      <c r="M9">
        <f t="shared" si="1"/>
        <v>0.27248233440089498</v>
      </c>
    </row>
    <row r="10" spans="1:13">
      <c r="A10">
        <v>2013</v>
      </c>
      <c r="B10">
        <v>5</v>
      </c>
      <c r="C10">
        <v>15</v>
      </c>
      <c r="D10">
        <v>9</v>
      </c>
      <c r="E10">
        <v>134.49</v>
      </c>
      <c r="F10">
        <v>2</v>
      </c>
      <c r="G10">
        <v>0</v>
      </c>
      <c r="H10">
        <v>1.46</v>
      </c>
      <c r="I10">
        <v>0</v>
      </c>
      <c r="J10">
        <v>2.29</v>
      </c>
      <c r="K10">
        <v>3</v>
      </c>
      <c r="L10" s="1">
        <f t="shared" si="0"/>
        <v>1.2016737366719601</v>
      </c>
      <c r="M10">
        <f t="shared" si="1"/>
        <v>0.91159575008896399</v>
      </c>
    </row>
    <row r="11" spans="1:13">
      <c r="A11">
        <v>2013</v>
      </c>
      <c r="B11">
        <v>5</v>
      </c>
      <c r="C11">
        <v>15</v>
      </c>
      <c r="D11">
        <v>10</v>
      </c>
      <c r="E11">
        <v>80.2</v>
      </c>
      <c r="F11">
        <v>6</v>
      </c>
      <c r="G11">
        <v>0.5</v>
      </c>
      <c r="H11">
        <v>1.04</v>
      </c>
      <c r="I11">
        <v>0.5</v>
      </c>
      <c r="J11">
        <v>0.71</v>
      </c>
      <c r="K11">
        <v>17.5</v>
      </c>
      <c r="L11" s="1">
        <f t="shared" si="0"/>
        <v>4.1642550511469301</v>
      </c>
      <c r="M11">
        <f t="shared" si="1"/>
        <v>0.54360903529730698</v>
      </c>
    </row>
    <row r="12" spans="1:13">
      <c r="A12">
        <v>2013</v>
      </c>
      <c r="B12">
        <v>5</v>
      </c>
      <c r="C12">
        <v>15</v>
      </c>
      <c r="D12">
        <v>11</v>
      </c>
      <c r="E12">
        <v>91.95</v>
      </c>
      <c r="F12">
        <v>10.5</v>
      </c>
      <c r="G12">
        <v>0</v>
      </c>
      <c r="H12">
        <v>0</v>
      </c>
      <c r="I12">
        <v>1</v>
      </c>
      <c r="J12">
        <v>35</v>
      </c>
      <c r="K12">
        <v>36.5</v>
      </c>
      <c r="L12" s="1">
        <f t="shared" si="0"/>
        <v>9.1885883901287393</v>
      </c>
      <c r="M12">
        <f t="shared" si="1"/>
        <v>0.62325250368562901</v>
      </c>
    </row>
    <row r="13" spans="1:13">
      <c r="A13">
        <v>2013</v>
      </c>
      <c r="B13">
        <v>5</v>
      </c>
      <c r="C13">
        <v>15</v>
      </c>
      <c r="D13">
        <v>12</v>
      </c>
      <c r="E13">
        <v>94.5</v>
      </c>
      <c r="F13">
        <v>0</v>
      </c>
      <c r="G13">
        <v>0</v>
      </c>
      <c r="H13">
        <v>0</v>
      </c>
      <c r="I13">
        <v>0</v>
      </c>
      <c r="J13">
        <v>2.04</v>
      </c>
      <c r="K13">
        <v>5</v>
      </c>
      <c r="L13" s="1">
        <f t="shared" si="0"/>
        <v>0.77969788201093404</v>
      </c>
      <c r="M13">
        <f t="shared" si="1"/>
        <v>0.64053683086777502</v>
      </c>
    </row>
    <row r="14" spans="1:13">
      <c r="A14">
        <v>2013</v>
      </c>
      <c r="B14">
        <v>5</v>
      </c>
      <c r="C14">
        <v>15</v>
      </c>
      <c r="D14">
        <v>13</v>
      </c>
      <c r="E14">
        <v>80.2</v>
      </c>
      <c r="F14">
        <v>0</v>
      </c>
      <c r="G14">
        <v>0.5</v>
      </c>
      <c r="H14">
        <v>0</v>
      </c>
      <c r="I14">
        <v>1</v>
      </c>
      <c r="J14">
        <v>1.17</v>
      </c>
      <c r="K14">
        <v>0</v>
      </c>
      <c r="L14" s="1">
        <f t="shared" si="0"/>
        <v>0.33830521335223701</v>
      </c>
      <c r="M14">
        <f t="shared" si="1"/>
        <v>0.54360903529730698</v>
      </c>
    </row>
    <row r="15" spans="1:13">
      <c r="A15">
        <v>2013</v>
      </c>
      <c r="B15">
        <v>5</v>
      </c>
      <c r="C15">
        <v>15</v>
      </c>
      <c r="D15">
        <v>14</v>
      </c>
      <c r="E15">
        <v>92.4</v>
      </c>
      <c r="F15">
        <v>2</v>
      </c>
      <c r="G15">
        <v>1</v>
      </c>
      <c r="H15">
        <v>3</v>
      </c>
      <c r="I15">
        <v>2</v>
      </c>
      <c r="J15">
        <v>0.28999999999999998</v>
      </c>
      <c r="K15">
        <v>0</v>
      </c>
      <c r="L15" s="1">
        <f t="shared" si="0"/>
        <v>1.4986566989947601</v>
      </c>
      <c r="M15">
        <f t="shared" si="1"/>
        <v>0.62630267907071302</v>
      </c>
    </row>
    <row r="16" spans="1:13">
      <c r="A16">
        <v>2013</v>
      </c>
      <c r="B16">
        <v>5</v>
      </c>
      <c r="C16">
        <v>15</v>
      </c>
      <c r="D16">
        <v>15</v>
      </c>
      <c r="E16">
        <v>85.71</v>
      </c>
      <c r="F16">
        <v>0</v>
      </c>
      <c r="G16">
        <v>0</v>
      </c>
      <c r="H16">
        <v>0.5</v>
      </c>
      <c r="I16">
        <v>0</v>
      </c>
      <c r="J16">
        <v>0</v>
      </c>
      <c r="K16">
        <v>0.5</v>
      </c>
      <c r="L16" s="1">
        <f t="shared" si="0"/>
        <v>0.14560256967862101</v>
      </c>
      <c r="M16">
        <f t="shared" si="1"/>
        <v>0.58095673834578798</v>
      </c>
    </row>
    <row r="17" spans="1:13">
      <c r="A17">
        <v>2013</v>
      </c>
      <c r="B17">
        <v>5</v>
      </c>
      <c r="C17">
        <v>15</v>
      </c>
      <c r="D17">
        <v>16</v>
      </c>
      <c r="E17">
        <v>74.2</v>
      </c>
      <c r="F17">
        <v>0</v>
      </c>
      <c r="G17">
        <v>0.5</v>
      </c>
      <c r="H17">
        <v>3</v>
      </c>
      <c r="I17">
        <v>0</v>
      </c>
      <c r="J17">
        <v>0</v>
      </c>
      <c r="K17">
        <v>0</v>
      </c>
      <c r="L17" s="1">
        <f t="shared" si="0"/>
        <v>0.61552915835870503</v>
      </c>
      <c r="M17">
        <f t="shared" si="1"/>
        <v>0.50294003016284505</v>
      </c>
    </row>
    <row r="18" spans="1:13">
      <c r="A18">
        <v>2013</v>
      </c>
      <c r="B18">
        <v>5</v>
      </c>
      <c r="C18">
        <v>15</v>
      </c>
      <c r="D18">
        <v>17</v>
      </c>
      <c r="E18">
        <v>71.72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1">
        <f t="shared" si="0"/>
        <v>0</v>
      </c>
      <c r="M18">
        <f t="shared" si="1"/>
        <v>0.48613017470726799</v>
      </c>
    </row>
    <row r="19" spans="1:13">
      <c r="A19">
        <v>2013</v>
      </c>
      <c r="B19">
        <v>5</v>
      </c>
      <c r="C19">
        <v>15</v>
      </c>
      <c r="D19">
        <v>18</v>
      </c>
      <c r="E19">
        <v>62.68</v>
      </c>
      <c r="F19">
        <v>0.5</v>
      </c>
      <c r="G19">
        <v>0.5</v>
      </c>
      <c r="H19">
        <v>0</v>
      </c>
      <c r="I19">
        <v>0</v>
      </c>
      <c r="J19">
        <v>0</v>
      </c>
      <c r="K19">
        <v>0</v>
      </c>
      <c r="L19" s="1">
        <f t="shared" si="0"/>
        <v>0.26466484785838201</v>
      </c>
      <c r="M19">
        <f t="shared" si="1"/>
        <v>0.42485554030467898</v>
      </c>
    </row>
    <row r="20" spans="1:13">
      <c r="A20">
        <v>2013</v>
      </c>
      <c r="B20">
        <v>5</v>
      </c>
      <c r="C20">
        <v>15</v>
      </c>
      <c r="D20">
        <v>19</v>
      </c>
      <c r="E20">
        <v>56.08</v>
      </c>
      <c r="F20">
        <v>3</v>
      </c>
      <c r="G20">
        <v>10.5</v>
      </c>
      <c r="H20">
        <v>6.5</v>
      </c>
      <c r="I20">
        <v>3</v>
      </c>
      <c r="J20">
        <v>0.83</v>
      </c>
      <c r="K20">
        <v>0</v>
      </c>
      <c r="L20" s="1">
        <f t="shared" si="0"/>
        <v>5.2883580265741896</v>
      </c>
      <c r="M20">
        <f t="shared" si="1"/>
        <v>0.38011963465677101</v>
      </c>
    </row>
    <row r="21" spans="1:13">
      <c r="A21">
        <v>2013</v>
      </c>
      <c r="B21">
        <v>5</v>
      </c>
      <c r="C21">
        <v>15</v>
      </c>
      <c r="D21">
        <v>20</v>
      </c>
      <c r="E21">
        <v>55.37</v>
      </c>
      <c r="F21">
        <v>18.5</v>
      </c>
      <c r="G21">
        <v>2</v>
      </c>
      <c r="H21">
        <v>6.5</v>
      </c>
      <c r="I21">
        <v>5.5</v>
      </c>
      <c r="J21">
        <v>1.67</v>
      </c>
      <c r="K21">
        <v>2</v>
      </c>
      <c r="L21" s="1">
        <f t="shared" si="0"/>
        <v>6.9036401583831797</v>
      </c>
      <c r="M21">
        <f t="shared" si="1"/>
        <v>0.375307135715859</v>
      </c>
    </row>
    <row r="22" spans="1:13">
      <c r="A22">
        <v>2013</v>
      </c>
      <c r="B22">
        <v>5</v>
      </c>
      <c r="C22">
        <v>15</v>
      </c>
      <c r="D22">
        <v>21</v>
      </c>
      <c r="E22">
        <v>61.22</v>
      </c>
      <c r="F22">
        <v>6.5</v>
      </c>
      <c r="G22">
        <v>3</v>
      </c>
      <c r="H22">
        <v>3.5</v>
      </c>
      <c r="I22">
        <v>4</v>
      </c>
      <c r="J22">
        <v>4</v>
      </c>
      <c r="K22">
        <v>5</v>
      </c>
      <c r="L22" s="1">
        <f t="shared" si="0"/>
        <v>4.3276594422697796</v>
      </c>
      <c r="M22">
        <f t="shared" si="1"/>
        <v>0.41495941572195999</v>
      </c>
    </row>
    <row r="23" spans="1:13">
      <c r="A23">
        <v>2013</v>
      </c>
      <c r="B23">
        <v>5</v>
      </c>
      <c r="C23">
        <v>15</v>
      </c>
      <c r="D23">
        <v>22</v>
      </c>
      <c r="E23">
        <v>66.680000000000007</v>
      </c>
      <c r="F23">
        <v>0</v>
      </c>
      <c r="G23">
        <v>1.5</v>
      </c>
      <c r="H23">
        <v>1.75</v>
      </c>
      <c r="I23">
        <v>1.2</v>
      </c>
      <c r="J23">
        <v>1.2</v>
      </c>
      <c r="K23">
        <v>1</v>
      </c>
      <c r="L23" s="1">
        <f t="shared" si="0"/>
        <v>1.0746825087504299</v>
      </c>
      <c r="M23">
        <f t="shared" si="1"/>
        <v>0.45196821039432</v>
      </c>
    </row>
    <row r="24" spans="1:13">
      <c r="A24">
        <v>2013</v>
      </c>
      <c r="B24">
        <v>5</v>
      </c>
      <c r="C24">
        <v>15</v>
      </c>
      <c r="D24">
        <v>23</v>
      </c>
      <c r="E24">
        <v>67.19</v>
      </c>
      <c r="F24">
        <v>3.5</v>
      </c>
      <c r="G24">
        <v>7</v>
      </c>
      <c r="H24">
        <v>1.75</v>
      </c>
      <c r="I24">
        <v>0.8</v>
      </c>
      <c r="J24">
        <v>0.8</v>
      </c>
      <c r="K24">
        <v>0</v>
      </c>
      <c r="L24" s="1">
        <f t="shared" si="0"/>
        <v>3.32183746707411</v>
      </c>
      <c r="M24">
        <f t="shared" si="1"/>
        <v>0.45542507583074898</v>
      </c>
    </row>
    <row r="25" spans="1:13">
      <c r="A25">
        <v>2013</v>
      </c>
      <c r="B25">
        <v>5</v>
      </c>
      <c r="C25">
        <v>16</v>
      </c>
      <c r="D25">
        <v>0</v>
      </c>
      <c r="E25">
        <v>64.599999999999994</v>
      </c>
      <c r="F25">
        <v>13</v>
      </c>
      <c r="G25">
        <v>10.5</v>
      </c>
      <c r="H25">
        <v>11.5</v>
      </c>
      <c r="I25">
        <v>11</v>
      </c>
      <c r="J25">
        <v>5.5</v>
      </c>
      <c r="K25">
        <v>3</v>
      </c>
      <c r="L25" s="1">
        <f t="shared" si="0"/>
        <v>10.0275024147222</v>
      </c>
      <c r="M25">
        <f t="shared" si="1"/>
        <v>0.43786962194770601</v>
      </c>
    </row>
    <row r="26" spans="1:13">
      <c r="A26">
        <v>2013</v>
      </c>
      <c r="B26">
        <v>5</v>
      </c>
      <c r="C26">
        <v>16</v>
      </c>
      <c r="D26">
        <v>1</v>
      </c>
      <c r="E26">
        <v>79.2</v>
      </c>
      <c r="F26">
        <v>4</v>
      </c>
      <c r="G26">
        <v>16</v>
      </c>
      <c r="H26">
        <v>22.5</v>
      </c>
      <c r="I26">
        <v>12</v>
      </c>
      <c r="J26">
        <v>2.5</v>
      </c>
      <c r="K26">
        <v>0.5</v>
      </c>
      <c r="L26" s="1">
        <f t="shared" si="0"/>
        <v>10.982202603192899</v>
      </c>
      <c r="M26">
        <f t="shared" si="1"/>
        <v>0.53683086777489697</v>
      </c>
    </row>
    <row r="27" spans="1:13">
      <c r="A27">
        <v>2013</v>
      </c>
      <c r="B27">
        <v>5</v>
      </c>
      <c r="C27">
        <v>16</v>
      </c>
      <c r="D27">
        <v>2</v>
      </c>
      <c r="E27">
        <v>141</v>
      </c>
      <c r="F27">
        <v>1.62</v>
      </c>
      <c r="G27">
        <v>0.5</v>
      </c>
      <c r="H27">
        <v>2.5</v>
      </c>
      <c r="I27">
        <v>3.5</v>
      </c>
      <c r="J27">
        <v>25</v>
      </c>
      <c r="K27">
        <v>3.5</v>
      </c>
      <c r="L27" s="1">
        <f t="shared" si="0"/>
        <v>3.0506076815466301</v>
      </c>
      <c r="M27">
        <f t="shared" si="1"/>
        <v>0.955721620659855</v>
      </c>
    </row>
    <row r="28" spans="1:13">
      <c r="A28">
        <v>2013</v>
      </c>
      <c r="B28">
        <v>5</v>
      </c>
      <c r="C28">
        <v>16</v>
      </c>
      <c r="D28">
        <v>3</v>
      </c>
      <c r="E28">
        <v>130.04</v>
      </c>
      <c r="F28">
        <v>1.38</v>
      </c>
      <c r="G28">
        <v>13</v>
      </c>
      <c r="H28">
        <v>3.5</v>
      </c>
      <c r="I28">
        <v>10</v>
      </c>
      <c r="J28">
        <v>5</v>
      </c>
      <c r="K28">
        <v>3.5</v>
      </c>
      <c r="L28" s="1">
        <f t="shared" si="0"/>
        <v>6.8035977006949597</v>
      </c>
      <c r="M28">
        <f t="shared" si="1"/>
        <v>0.88143290461423796</v>
      </c>
    </row>
    <row r="29" spans="1:13">
      <c r="A29">
        <v>2013</v>
      </c>
      <c r="B29">
        <v>5</v>
      </c>
      <c r="C29">
        <v>16</v>
      </c>
      <c r="D29">
        <v>4</v>
      </c>
      <c r="E29">
        <v>197</v>
      </c>
      <c r="F29">
        <v>24.5</v>
      </c>
      <c r="G29">
        <v>3.5</v>
      </c>
      <c r="H29">
        <v>8.5</v>
      </c>
      <c r="I29">
        <v>7.5</v>
      </c>
      <c r="J29">
        <v>12</v>
      </c>
      <c r="K29">
        <v>3</v>
      </c>
      <c r="L29" s="1">
        <f t="shared" si="0"/>
        <v>9.9312496116674804</v>
      </c>
      <c r="M29">
        <f t="shared" si="1"/>
        <v>1.3352990019148301</v>
      </c>
    </row>
    <row r="30" spans="1:13">
      <c r="A30">
        <v>2013</v>
      </c>
      <c r="B30">
        <v>5</v>
      </c>
      <c r="C30">
        <v>16</v>
      </c>
      <c r="D30">
        <v>5</v>
      </c>
      <c r="E30">
        <v>256.31</v>
      </c>
      <c r="F30">
        <v>1</v>
      </c>
      <c r="G30">
        <v>1.48</v>
      </c>
      <c r="H30">
        <v>9</v>
      </c>
      <c r="I30">
        <v>1.67</v>
      </c>
      <c r="J30">
        <v>6</v>
      </c>
      <c r="K30">
        <v>2.0499999999999998</v>
      </c>
      <c r="L30" s="1">
        <f t="shared" si="0"/>
        <v>2.85670025625239</v>
      </c>
      <c r="M30">
        <f t="shared" si="1"/>
        <v>1.7373121176689901</v>
      </c>
    </row>
    <row r="31" spans="1:13">
      <c r="A31">
        <v>2013</v>
      </c>
      <c r="B31">
        <v>5</v>
      </c>
      <c r="C31">
        <v>16</v>
      </c>
      <c r="D31">
        <v>6</v>
      </c>
      <c r="E31">
        <v>315</v>
      </c>
      <c r="F31">
        <v>6.5</v>
      </c>
      <c r="G31">
        <v>1.67</v>
      </c>
      <c r="H31">
        <v>8</v>
      </c>
      <c r="I31">
        <v>0.83</v>
      </c>
      <c r="J31">
        <v>2.5</v>
      </c>
      <c r="K31">
        <v>2.4500000000000002</v>
      </c>
      <c r="L31" s="1">
        <f t="shared" si="0"/>
        <v>3.78864700244955</v>
      </c>
      <c r="M31">
        <f t="shared" si="1"/>
        <v>2.1351227695592501</v>
      </c>
    </row>
    <row r="32" spans="1:13">
      <c r="A32">
        <v>2013</v>
      </c>
      <c r="B32">
        <v>5</v>
      </c>
      <c r="C32">
        <v>16</v>
      </c>
      <c r="D32">
        <v>7</v>
      </c>
      <c r="E32">
        <v>305</v>
      </c>
      <c r="F32">
        <v>5</v>
      </c>
      <c r="G32">
        <v>1.85</v>
      </c>
      <c r="H32">
        <v>4.5</v>
      </c>
      <c r="I32">
        <v>3</v>
      </c>
      <c r="J32">
        <v>4.5</v>
      </c>
      <c r="K32">
        <v>7.5</v>
      </c>
      <c r="L32" s="1">
        <f t="shared" si="0"/>
        <v>4.0276334592942797</v>
      </c>
      <c r="M32">
        <f t="shared" si="1"/>
        <v>2.0673410943351498</v>
      </c>
    </row>
    <row r="33" spans="1:13">
      <c r="A33">
        <v>2013</v>
      </c>
      <c r="B33">
        <v>5</v>
      </c>
      <c r="C33">
        <v>16</v>
      </c>
      <c r="D33">
        <v>8</v>
      </c>
      <c r="E33">
        <v>197</v>
      </c>
      <c r="F33">
        <v>25</v>
      </c>
      <c r="G33">
        <v>4.5</v>
      </c>
      <c r="H33">
        <v>3</v>
      </c>
      <c r="I33">
        <v>18.5</v>
      </c>
      <c r="J33">
        <v>13.5</v>
      </c>
      <c r="K33">
        <v>26</v>
      </c>
      <c r="L33" s="1">
        <f t="shared" si="0"/>
        <v>14.1431464253639</v>
      </c>
      <c r="M33">
        <f t="shared" si="1"/>
        <v>1.3352990019148301</v>
      </c>
    </row>
    <row r="34" spans="1:13">
      <c r="A34">
        <v>2013</v>
      </c>
      <c r="B34">
        <v>5</v>
      </c>
      <c r="C34">
        <v>16</v>
      </c>
      <c r="D34">
        <v>9</v>
      </c>
      <c r="E34">
        <v>433</v>
      </c>
      <c r="F34">
        <v>29.5</v>
      </c>
      <c r="G34">
        <v>3</v>
      </c>
      <c r="H34">
        <v>5</v>
      </c>
      <c r="I34">
        <v>4</v>
      </c>
      <c r="J34">
        <v>12.5</v>
      </c>
      <c r="K34">
        <v>27.5</v>
      </c>
      <c r="L34" s="1">
        <f t="shared" si="0"/>
        <v>13.281444578125001</v>
      </c>
      <c r="M34">
        <f t="shared" si="1"/>
        <v>2.93494653720367</v>
      </c>
    </row>
    <row r="35" spans="1:13">
      <c r="A35">
        <v>2013</v>
      </c>
      <c r="B35">
        <v>5</v>
      </c>
      <c r="C35">
        <v>16</v>
      </c>
      <c r="D35">
        <v>10</v>
      </c>
      <c r="E35">
        <v>393</v>
      </c>
      <c r="F35">
        <v>25.5</v>
      </c>
      <c r="G35">
        <v>2</v>
      </c>
      <c r="H35">
        <v>1.71</v>
      </c>
      <c r="I35">
        <v>4.5</v>
      </c>
      <c r="J35">
        <v>6.5</v>
      </c>
      <c r="K35">
        <v>19</v>
      </c>
      <c r="L35" s="1">
        <f t="shared" si="0"/>
        <v>10.1759236665368</v>
      </c>
      <c r="M35">
        <f t="shared" si="1"/>
        <v>2.6638198363072498</v>
      </c>
    </row>
    <row r="36" spans="1:13">
      <c r="A36">
        <v>2013</v>
      </c>
      <c r="B36">
        <v>5</v>
      </c>
      <c r="C36">
        <v>16</v>
      </c>
      <c r="D36">
        <v>11</v>
      </c>
      <c r="E36">
        <v>309</v>
      </c>
      <c r="F36">
        <v>42</v>
      </c>
      <c r="G36">
        <v>3.5</v>
      </c>
      <c r="H36">
        <v>1.29</v>
      </c>
      <c r="I36">
        <v>5</v>
      </c>
      <c r="J36">
        <v>15.5</v>
      </c>
      <c r="K36">
        <v>23</v>
      </c>
      <c r="L36" s="1">
        <f t="shared" si="0"/>
        <v>15.370942654819901</v>
      </c>
      <c r="M36">
        <f t="shared" si="1"/>
        <v>2.0944537644247898</v>
      </c>
    </row>
    <row r="37" spans="1:13">
      <c r="A37">
        <v>2013</v>
      </c>
      <c r="B37">
        <v>5</v>
      </c>
      <c r="C37">
        <v>16</v>
      </c>
      <c r="D37">
        <v>12</v>
      </c>
      <c r="E37">
        <v>322.62</v>
      </c>
      <c r="F37">
        <v>9.5</v>
      </c>
      <c r="G37">
        <v>13.5</v>
      </c>
      <c r="H37">
        <v>4</v>
      </c>
      <c r="I37">
        <v>14.5</v>
      </c>
      <c r="J37">
        <v>8</v>
      </c>
      <c r="K37">
        <v>10.5</v>
      </c>
      <c r="L37" s="1">
        <f t="shared" ref="L37:L56" si="2">F37*$F$2+G37*$G$2+H37*$H$2+I37*$I$2+J37*$J$2+K37*$K$2</f>
        <v>10.5724529623416</v>
      </c>
      <c r="M37">
        <f t="shared" ref="M37:M56" si="3">E37*3600/(1000*$L$1)</f>
        <v>2.1867724060800202</v>
      </c>
    </row>
    <row r="38" spans="1:13">
      <c r="A38">
        <v>2013</v>
      </c>
      <c r="B38">
        <v>5</v>
      </c>
      <c r="C38">
        <v>16</v>
      </c>
      <c r="D38">
        <v>13</v>
      </c>
      <c r="E38">
        <v>371.75</v>
      </c>
      <c r="F38">
        <v>7</v>
      </c>
      <c r="G38">
        <v>16.5</v>
      </c>
      <c r="H38">
        <v>18</v>
      </c>
      <c r="I38">
        <v>11.5</v>
      </c>
      <c r="J38">
        <v>8</v>
      </c>
      <c r="K38">
        <v>4.5</v>
      </c>
      <c r="L38" s="1">
        <f t="shared" si="2"/>
        <v>11.8646221077465</v>
      </c>
      <c r="M38">
        <f t="shared" si="3"/>
        <v>2.51978377645603</v>
      </c>
    </row>
    <row r="39" spans="1:13">
      <c r="A39">
        <v>2013</v>
      </c>
      <c r="B39">
        <v>5</v>
      </c>
      <c r="C39">
        <v>16</v>
      </c>
      <c r="D39">
        <v>14</v>
      </c>
      <c r="E39">
        <v>441.15</v>
      </c>
      <c r="F39">
        <v>0.5</v>
      </c>
      <c r="G39">
        <v>3</v>
      </c>
      <c r="H39">
        <v>6</v>
      </c>
      <c r="I39">
        <v>1.84</v>
      </c>
      <c r="J39">
        <v>4</v>
      </c>
      <c r="K39">
        <v>1.67</v>
      </c>
      <c r="L39" s="1">
        <f t="shared" si="2"/>
        <v>2.6096491168612599</v>
      </c>
      <c r="M39">
        <f t="shared" si="3"/>
        <v>2.99018860251131</v>
      </c>
    </row>
    <row r="40" spans="1:13">
      <c r="A40">
        <v>2013</v>
      </c>
      <c r="B40">
        <v>5</v>
      </c>
      <c r="C40">
        <v>16</v>
      </c>
      <c r="D40">
        <v>15</v>
      </c>
      <c r="E40">
        <v>567</v>
      </c>
      <c r="F40">
        <v>0</v>
      </c>
      <c r="G40">
        <v>1</v>
      </c>
      <c r="H40">
        <v>2</v>
      </c>
      <c r="I40">
        <v>0.66</v>
      </c>
      <c r="J40">
        <v>0.71</v>
      </c>
      <c r="K40">
        <v>1.33</v>
      </c>
      <c r="L40" s="1">
        <f t="shared" si="2"/>
        <v>0.91325440533818503</v>
      </c>
      <c r="M40">
        <f t="shared" si="3"/>
        <v>3.8432209852066501</v>
      </c>
    </row>
    <row r="41" spans="1:13">
      <c r="A41">
        <v>2013</v>
      </c>
      <c r="B41">
        <v>5</v>
      </c>
      <c r="C41">
        <v>16</v>
      </c>
      <c r="D41">
        <v>16</v>
      </c>
      <c r="E41">
        <v>584</v>
      </c>
      <c r="F41">
        <v>0.5</v>
      </c>
      <c r="G41">
        <v>0</v>
      </c>
      <c r="H41">
        <v>0</v>
      </c>
      <c r="I41">
        <v>0</v>
      </c>
      <c r="J41">
        <v>0.28999999999999998</v>
      </c>
      <c r="K41">
        <v>0</v>
      </c>
      <c r="L41" s="1">
        <f t="shared" si="2"/>
        <v>0.12803591299092301</v>
      </c>
      <c r="M41">
        <f t="shared" si="3"/>
        <v>3.9584498330876201</v>
      </c>
    </row>
    <row r="42" spans="1:13">
      <c r="A42">
        <v>2013</v>
      </c>
      <c r="B42">
        <v>5</v>
      </c>
      <c r="C42">
        <v>16</v>
      </c>
      <c r="D42">
        <v>17</v>
      </c>
      <c r="E42">
        <v>520.94000000000005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1">
        <f t="shared" si="2"/>
        <v>0</v>
      </c>
      <c r="M42">
        <f t="shared" si="3"/>
        <v>3.5310185891244301</v>
      </c>
    </row>
    <row r="43" spans="1:13">
      <c r="A43">
        <v>2013</v>
      </c>
      <c r="B43">
        <v>5</v>
      </c>
      <c r="C43">
        <v>16</v>
      </c>
      <c r="D43">
        <v>18</v>
      </c>
      <c r="E43">
        <v>476.93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1">
        <f t="shared" si="2"/>
        <v>0</v>
      </c>
      <c r="M43">
        <f t="shared" si="3"/>
        <v>3.2327114364631502</v>
      </c>
    </row>
    <row r="44" spans="1:13">
      <c r="A44">
        <v>2013</v>
      </c>
      <c r="B44">
        <v>5</v>
      </c>
      <c r="C44">
        <v>16</v>
      </c>
      <c r="D44">
        <v>19</v>
      </c>
      <c r="E44">
        <v>503.61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1">
        <f t="shared" si="2"/>
        <v>0</v>
      </c>
      <c r="M44">
        <f t="shared" si="3"/>
        <v>3.4135529459610598</v>
      </c>
    </row>
    <row r="45" spans="1:13">
      <c r="A45">
        <v>2013</v>
      </c>
      <c r="B45">
        <v>5</v>
      </c>
      <c r="C45">
        <v>16</v>
      </c>
      <c r="D45">
        <v>20</v>
      </c>
      <c r="E45">
        <v>353.92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1">
        <f t="shared" si="2"/>
        <v>0</v>
      </c>
      <c r="M45">
        <f t="shared" si="3"/>
        <v>2.3989290495314601</v>
      </c>
    </row>
    <row r="46" spans="1:13">
      <c r="A46">
        <v>2013</v>
      </c>
      <c r="B46">
        <v>5</v>
      </c>
      <c r="C46">
        <v>16</v>
      </c>
      <c r="D46">
        <v>21</v>
      </c>
      <c r="E46">
        <v>310.47000000000003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1">
        <f t="shared" si="2"/>
        <v>0</v>
      </c>
      <c r="M46">
        <f t="shared" si="3"/>
        <v>2.10441767068273</v>
      </c>
    </row>
    <row r="47" spans="1:13">
      <c r="A47">
        <v>2013</v>
      </c>
      <c r="B47">
        <v>5</v>
      </c>
      <c r="C47">
        <v>16</v>
      </c>
      <c r="D47">
        <v>22</v>
      </c>
      <c r="E47">
        <v>224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 s="1">
        <f t="shared" si="2"/>
        <v>0.22806650888598901</v>
      </c>
      <c r="M47">
        <f t="shared" si="3"/>
        <v>1.5183095250199099</v>
      </c>
    </row>
    <row r="48" spans="1:13">
      <c r="A48">
        <v>2013</v>
      </c>
      <c r="B48">
        <v>5</v>
      </c>
      <c r="C48">
        <v>16</v>
      </c>
      <c r="D48">
        <v>23</v>
      </c>
      <c r="E48">
        <v>187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1">
        <f t="shared" si="2"/>
        <v>0</v>
      </c>
      <c r="M48">
        <f t="shared" si="3"/>
        <v>1.26751732669073</v>
      </c>
    </row>
    <row r="49" spans="1:13">
      <c r="A49">
        <v>2013</v>
      </c>
      <c r="B49">
        <v>5</v>
      </c>
      <c r="C49">
        <v>17</v>
      </c>
      <c r="D49">
        <v>0</v>
      </c>
      <c r="E49">
        <v>189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1">
        <f t="shared" si="2"/>
        <v>0</v>
      </c>
      <c r="M49">
        <f t="shared" si="3"/>
        <v>1.28107366173555</v>
      </c>
    </row>
    <row r="50" spans="1:13">
      <c r="A50">
        <v>2013</v>
      </c>
      <c r="B50">
        <v>5</v>
      </c>
      <c r="C50">
        <v>17</v>
      </c>
      <c r="D50">
        <v>1</v>
      </c>
      <c r="E50">
        <v>183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1">
        <f t="shared" si="2"/>
        <v>0</v>
      </c>
      <c r="M50">
        <f t="shared" si="3"/>
        <v>1.24040465660109</v>
      </c>
    </row>
    <row r="51" spans="1:13">
      <c r="A51">
        <v>2013</v>
      </c>
      <c r="B51">
        <v>5</v>
      </c>
      <c r="C51">
        <v>17</v>
      </c>
      <c r="D51">
        <v>2</v>
      </c>
      <c r="E51">
        <v>210.14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1">
        <f t="shared" si="2"/>
        <v>0</v>
      </c>
      <c r="M51">
        <f t="shared" si="3"/>
        <v>1.4243641231593001</v>
      </c>
    </row>
    <row r="52" spans="1:13">
      <c r="A52">
        <v>2013</v>
      </c>
      <c r="B52">
        <v>5</v>
      </c>
      <c r="C52">
        <v>17</v>
      </c>
      <c r="D52">
        <v>3</v>
      </c>
      <c r="E52">
        <v>66.400000000000006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1">
        <f t="shared" si="2"/>
        <v>0</v>
      </c>
      <c r="M52">
        <f t="shared" si="3"/>
        <v>0.45007032348804499</v>
      </c>
    </row>
    <row r="53" spans="1:13">
      <c r="A53">
        <v>2013</v>
      </c>
      <c r="B53">
        <v>5</v>
      </c>
      <c r="C53">
        <v>17</v>
      </c>
      <c r="D53">
        <v>4</v>
      </c>
      <c r="E53">
        <v>170.61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1">
        <f t="shared" si="2"/>
        <v>0</v>
      </c>
      <c r="M53">
        <f t="shared" si="3"/>
        <v>1.1564231609984199</v>
      </c>
    </row>
    <row r="54" spans="1:13">
      <c r="A54">
        <v>2013</v>
      </c>
      <c r="B54">
        <v>5</v>
      </c>
      <c r="C54">
        <v>17</v>
      </c>
      <c r="D54">
        <v>5</v>
      </c>
      <c r="E54">
        <v>208.57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1">
        <f t="shared" si="2"/>
        <v>0</v>
      </c>
      <c r="M54">
        <f t="shared" si="3"/>
        <v>1.41372240014912</v>
      </c>
    </row>
    <row r="55" spans="1:13">
      <c r="A55">
        <v>2013</v>
      </c>
      <c r="B55">
        <v>5</v>
      </c>
      <c r="C55">
        <v>17</v>
      </c>
      <c r="D55">
        <v>6</v>
      </c>
      <c r="E55">
        <v>81.2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1">
        <f t="shared" si="2"/>
        <v>0</v>
      </c>
      <c r="M55">
        <f t="shared" si="3"/>
        <v>0.55038720281971798</v>
      </c>
    </row>
    <row r="56" spans="1:13">
      <c r="A56">
        <v>2013</v>
      </c>
      <c r="B56">
        <v>5</v>
      </c>
      <c r="C56">
        <v>17</v>
      </c>
      <c r="D56">
        <v>7</v>
      </c>
      <c r="E56">
        <v>52.96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1">
        <f t="shared" si="2"/>
        <v>0</v>
      </c>
      <c r="M56">
        <f t="shared" si="3"/>
        <v>0.35897175198685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000"/>
  </sheetPr>
  <dimension ref="A1:M117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2013</v>
      </c>
      <c r="B4">
        <v>5</v>
      </c>
      <c r="C4">
        <v>20</v>
      </c>
      <c r="D4">
        <v>2</v>
      </c>
      <c r="E4">
        <v>56.2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">
        <f>F4*$F$2+G4*$G$2+H4*$H$2+I4*$I$2+J4*$J$2+K4*$K$2</f>
        <v>0</v>
      </c>
      <c r="M4">
        <f>E4*3600/(1000*$L$1)</f>
        <v>0.38093301475946001</v>
      </c>
    </row>
    <row r="5" spans="1:13">
      <c r="A5">
        <v>2013</v>
      </c>
      <c r="B5">
        <v>5</v>
      </c>
      <c r="C5">
        <v>20</v>
      </c>
      <c r="D5">
        <v>3</v>
      </c>
      <c r="E5">
        <v>34.869999999999997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f t="shared" ref="L5:L36" si="0">F5*$F$2+G5*$G$2+H5*$H$2+I5*$I$2+J5*$J$2+K5*$K$2</f>
        <v>0</v>
      </c>
      <c r="M5">
        <f t="shared" ref="M5:M36" si="1">E5*3600/(1000*$L$1)</f>
        <v>0.236354701506448</v>
      </c>
    </row>
    <row r="6" spans="1:13">
      <c r="A6">
        <v>2013</v>
      </c>
      <c r="B6">
        <v>5</v>
      </c>
      <c r="C6">
        <v>20</v>
      </c>
      <c r="D6">
        <v>4</v>
      </c>
      <c r="E6">
        <v>28.27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f t="shared" si="0"/>
        <v>0</v>
      </c>
      <c r="M6">
        <f t="shared" si="1"/>
        <v>0.19161879585854</v>
      </c>
    </row>
    <row r="7" spans="1:13">
      <c r="A7">
        <v>2013</v>
      </c>
      <c r="B7">
        <v>5</v>
      </c>
      <c r="C7">
        <v>20</v>
      </c>
      <c r="D7">
        <v>5</v>
      </c>
      <c r="E7">
        <v>58.1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">
        <f t="shared" si="0"/>
        <v>0</v>
      </c>
      <c r="M7">
        <f t="shared" si="1"/>
        <v>0.39381153305203898</v>
      </c>
    </row>
    <row r="8" spans="1:13">
      <c r="A8">
        <v>2013</v>
      </c>
      <c r="B8">
        <v>5</v>
      </c>
      <c r="C8">
        <v>20</v>
      </c>
      <c r="D8">
        <v>6</v>
      </c>
      <c r="E8">
        <v>87.5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">
        <f t="shared" si="0"/>
        <v>0</v>
      </c>
      <c r="M8">
        <f t="shared" si="1"/>
        <v>0.59308965821090298</v>
      </c>
    </row>
    <row r="9" spans="1:13">
      <c r="A9">
        <v>2013</v>
      </c>
      <c r="B9">
        <v>5</v>
      </c>
      <c r="C9">
        <v>20</v>
      </c>
      <c r="D9">
        <v>7</v>
      </c>
      <c r="E9">
        <v>83.2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1">
        <f t="shared" si="0"/>
        <v>0</v>
      </c>
      <c r="M9">
        <f t="shared" si="1"/>
        <v>0.56394353786453799</v>
      </c>
    </row>
    <row r="10" spans="1:13">
      <c r="A10">
        <v>2013</v>
      </c>
      <c r="B10">
        <v>5</v>
      </c>
      <c r="C10">
        <v>20</v>
      </c>
      <c r="D10">
        <v>8</v>
      </c>
      <c r="E10">
        <v>60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">
        <f t="shared" si="0"/>
        <v>0</v>
      </c>
      <c r="M10">
        <f t="shared" si="1"/>
        <v>0.406690051344619</v>
      </c>
    </row>
    <row r="11" spans="1:13">
      <c r="A11">
        <v>2013</v>
      </c>
      <c r="B11">
        <v>5</v>
      </c>
      <c r="C11">
        <v>20</v>
      </c>
      <c r="D11">
        <v>9</v>
      </c>
      <c r="E11">
        <v>61.82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1">
        <f t="shared" si="0"/>
        <v>0</v>
      </c>
      <c r="M11">
        <f t="shared" si="1"/>
        <v>0.41902631623540598</v>
      </c>
    </row>
    <row r="12" spans="1:13">
      <c r="A12">
        <v>2013</v>
      </c>
      <c r="B12">
        <v>5</v>
      </c>
      <c r="C12">
        <v>20</v>
      </c>
      <c r="D12">
        <v>10</v>
      </c>
      <c r="E12">
        <v>69.349999999999994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1">
        <f t="shared" si="0"/>
        <v>0</v>
      </c>
      <c r="M12">
        <f t="shared" si="1"/>
        <v>0.47006591767915501</v>
      </c>
    </row>
    <row r="13" spans="1:13">
      <c r="A13">
        <v>2013</v>
      </c>
      <c r="B13">
        <v>5</v>
      </c>
      <c r="C13">
        <v>20</v>
      </c>
      <c r="D13">
        <v>11</v>
      </c>
      <c r="E13">
        <v>58.1</v>
      </c>
      <c r="F13">
        <v>0.5</v>
      </c>
      <c r="G13">
        <v>0</v>
      </c>
      <c r="H13">
        <v>0</v>
      </c>
      <c r="I13">
        <v>0</v>
      </c>
      <c r="J13">
        <v>0</v>
      </c>
      <c r="K13">
        <v>0</v>
      </c>
      <c r="L13" s="1">
        <f t="shared" si="0"/>
        <v>0.114033254442995</v>
      </c>
      <c r="M13">
        <f t="shared" si="1"/>
        <v>0.39381153305203898</v>
      </c>
    </row>
    <row r="14" spans="1:13">
      <c r="A14">
        <v>2013</v>
      </c>
      <c r="B14">
        <v>5</v>
      </c>
      <c r="C14">
        <v>20</v>
      </c>
      <c r="D14">
        <v>12</v>
      </c>
      <c r="E14">
        <v>56.49</v>
      </c>
      <c r="F14">
        <v>11</v>
      </c>
      <c r="G14">
        <v>0</v>
      </c>
      <c r="H14">
        <v>0</v>
      </c>
      <c r="I14">
        <v>0</v>
      </c>
      <c r="J14">
        <v>0</v>
      </c>
      <c r="K14">
        <v>21.5</v>
      </c>
      <c r="L14" s="1">
        <f t="shared" si="0"/>
        <v>5.4378762118328003</v>
      </c>
      <c r="M14">
        <f t="shared" si="1"/>
        <v>0.382898683340959</v>
      </c>
    </row>
    <row r="15" spans="1:13">
      <c r="A15">
        <v>2013</v>
      </c>
      <c r="B15">
        <v>5</v>
      </c>
      <c r="C15">
        <v>20</v>
      </c>
      <c r="D15">
        <v>13</v>
      </c>
      <c r="E15">
        <v>122.82</v>
      </c>
      <c r="F15">
        <v>0</v>
      </c>
      <c r="G15">
        <v>0</v>
      </c>
      <c r="H15">
        <v>14.5</v>
      </c>
      <c r="I15">
        <v>9</v>
      </c>
      <c r="J15">
        <v>20.5</v>
      </c>
      <c r="K15">
        <v>0.5</v>
      </c>
      <c r="L15" s="1">
        <f t="shared" si="0"/>
        <v>4.4855888627176297</v>
      </c>
      <c r="M15">
        <f t="shared" si="1"/>
        <v>0.83249453510243498</v>
      </c>
    </row>
    <row r="16" spans="1:13">
      <c r="A16">
        <v>2013</v>
      </c>
      <c r="B16">
        <v>5</v>
      </c>
      <c r="C16">
        <v>20</v>
      </c>
      <c r="D16">
        <v>14</v>
      </c>
      <c r="E16">
        <v>158.58000000000001</v>
      </c>
      <c r="F16">
        <v>0</v>
      </c>
      <c r="G16">
        <v>1.5</v>
      </c>
      <c r="H16">
        <v>0</v>
      </c>
      <c r="I16">
        <v>27.5</v>
      </c>
      <c r="J16">
        <v>24.5</v>
      </c>
      <c r="K16">
        <v>0</v>
      </c>
      <c r="L16" s="1">
        <f t="shared" si="0"/>
        <v>5.2423317272842</v>
      </c>
      <c r="M16">
        <f t="shared" si="1"/>
        <v>1.0748818057038301</v>
      </c>
    </row>
    <row r="17" spans="1:13">
      <c r="A17">
        <v>2013</v>
      </c>
      <c r="B17">
        <v>5</v>
      </c>
      <c r="C17">
        <v>20</v>
      </c>
      <c r="D17">
        <v>15</v>
      </c>
      <c r="E17">
        <v>165.74</v>
      </c>
      <c r="F17">
        <v>0</v>
      </c>
      <c r="G17">
        <v>13.5</v>
      </c>
      <c r="H17">
        <v>0</v>
      </c>
      <c r="I17">
        <v>0.5</v>
      </c>
      <c r="J17">
        <v>7</v>
      </c>
      <c r="K17">
        <v>0.67</v>
      </c>
      <c r="L17" s="1">
        <f t="shared" si="0"/>
        <v>4.5619186168019503</v>
      </c>
      <c r="M17">
        <f t="shared" si="1"/>
        <v>1.1234134851642901</v>
      </c>
    </row>
    <row r="18" spans="1:13">
      <c r="A18">
        <v>2013</v>
      </c>
      <c r="B18">
        <v>5</v>
      </c>
      <c r="C18">
        <v>20</v>
      </c>
      <c r="D18">
        <v>16</v>
      </c>
      <c r="E18">
        <v>158</v>
      </c>
      <c r="F18">
        <v>0</v>
      </c>
      <c r="G18">
        <v>1.5</v>
      </c>
      <c r="H18">
        <v>17</v>
      </c>
      <c r="I18">
        <v>0</v>
      </c>
      <c r="J18">
        <v>2.5</v>
      </c>
      <c r="K18">
        <v>1.33</v>
      </c>
      <c r="L18" s="1">
        <f t="shared" si="0"/>
        <v>3.3882251368342602</v>
      </c>
      <c r="M18">
        <f t="shared" si="1"/>
        <v>1.07095046854083</v>
      </c>
    </row>
    <row r="19" spans="1:13">
      <c r="A19">
        <v>2013</v>
      </c>
      <c r="B19">
        <v>5</v>
      </c>
      <c r="C19">
        <v>20</v>
      </c>
      <c r="D19">
        <v>17</v>
      </c>
      <c r="E19">
        <v>163</v>
      </c>
      <c r="F19">
        <v>13</v>
      </c>
      <c r="G19">
        <v>20</v>
      </c>
      <c r="H19">
        <v>11.5</v>
      </c>
      <c r="I19">
        <v>18</v>
      </c>
      <c r="J19">
        <v>28</v>
      </c>
      <c r="K19">
        <v>17.5</v>
      </c>
      <c r="L19" s="1">
        <f t="shared" si="0"/>
        <v>16.869646424422498</v>
      </c>
      <c r="M19">
        <f t="shared" si="1"/>
        <v>1.1048413061528799</v>
      </c>
    </row>
    <row r="20" spans="1:13">
      <c r="A20">
        <v>2013</v>
      </c>
      <c r="B20">
        <v>5</v>
      </c>
      <c r="C20">
        <v>20</v>
      </c>
      <c r="D20">
        <v>18</v>
      </c>
      <c r="E20">
        <v>291</v>
      </c>
      <c r="F20">
        <v>2.08</v>
      </c>
      <c r="G20">
        <v>5</v>
      </c>
      <c r="H20">
        <v>10.5</v>
      </c>
      <c r="I20">
        <v>2.62</v>
      </c>
      <c r="J20">
        <v>2.68</v>
      </c>
      <c r="K20">
        <v>1.83</v>
      </c>
      <c r="L20" s="1">
        <f t="shared" si="0"/>
        <v>4.3302494742213096</v>
      </c>
      <c r="M20">
        <f t="shared" si="1"/>
        <v>1.9724467490213999</v>
      </c>
    </row>
    <row r="21" spans="1:13">
      <c r="A21">
        <v>2013</v>
      </c>
      <c r="B21">
        <v>5</v>
      </c>
      <c r="C21">
        <v>20</v>
      </c>
      <c r="D21">
        <v>19</v>
      </c>
      <c r="E21">
        <v>143</v>
      </c>
      <c r="F21">
        <v>1.5</v>
      </c>
      <c r="G21">
        <v>2.31</v>
      </c>
      <c r="H21">
        <v>2.08</v>
      </c>
      <c r="I21">
        <v>1.83</v>
      </c>
      <c r="J21">
        <v>1.67</v>
      </c>
      <c r="K21">
        <v>1.17</v>
      </c>
      <c r="L21" s="1">
        <f t="shared" si="0"/>
        <v>1.84044231308732</v>
      </c>
      <c r="M21">
        <f t="shared" si="1"/>
        <v>0.96927795570467501</v>
      </c>
    </row>
    <row r="22" spans="1:13">
      <c r="A22">
        <v>2013</v>
      </c>
      <c r="B22">
        <v>5</v>
      </c>
      <c r="C22">
        <v>20</v>
      </c>
      <c r="D22">
        <v>20</v>
      </c>
      <c r="E22">
        <v>208.54</v>
      </c>
      <c r="F22">
        <v>0.92</v>
      </c>
      <c r="G22">
        <v>2.19</v>
      </c>
      <c r="H22">
        <v>0.92</v>
      </c>
      <c r="I22">
        <v>1.04</v>
      </c>
      <c r="J22">
        <v>0.66</v>
      </c>
      <c r="K22">
        <v>0.5</v>
      </c>
      <c r="L22" s="1">
        <f t="shared" si="0"/>
        <v>1.24857125642749</v>
      </c>
      <c r="M22">
        <f t="shared" si="1"/>
        <v>1.41351905512345</v>
      </c>
    </row>
    <row r="23" spans="1:13">
      <c r="A23">
        <v>2013</v>
      </c>
      <c r="B23">
        <v>5</v>
      </c>
      <c r="C23">
        <v>20</v>
      </c>
      <c r="D23">
        <v>21</v>
      </c>
      <c r="E23">
        <v>293.41000000000003</v>
      </c>
      <c r="F23">
        <v>0.5</v>
      </c>
      <c r="G23">
        <v>1</v>
      </c>
      <c r="H23">
        <v>1.5</v>
      </c>
      <c r="I23">
        <v>0.5</v>
      </c>
      <c r="J23">
        <v>1</v>
      </c>
      <c r="K23">
        <v>1</v>
      </c>
      <c r="L23" s="1">
        <f t="shared" si="0"/>
        <v>0.89785960532236897</v>
      </c>
      <c r="M23">
        <f t="shared" si="1"/>
        <v>1.98878213275041</v>
      </c>
    </row>
    <row r="24" spans="1:13">
      <c r="A24">
        <v>2013</v>
      </c>
      <c r="B24">
        <v>5</v>
      </c>
      <c r="C24">
        <v>20</v>
      </c>
      <c r="D24">
        <v>22</v>
      </c>
      <c r="E24">
        <v>275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1">
        <f t="shared" si="0"/>
        <v>0</v>
      </c>
      <c r="M24">
        <f t="shared" si="1"/>
        <v>1.8639960686628401</v>
      </c>
    </row>
    <row r="25" spans="1:13">
      <c r="A25">
        <v>2013</v>
      </c>
      <c r="B25">
        <v>5</v>
      </c>
      <c r="C25">
        <v>20</v>
      </c>
      <c r="D25">
        <v>23</v>
      </c>
      <c r="E25">
        <v>262.24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f t="shared" si="0"/>
        <v>0</v>
      </c>
      <c r="M25">
        <f t="shared" si="1"/>
        <v>1.77750665107688</v>
      </c>
    </row>
    <row r="26" spans="1:13">
      <c r="A26">
        <v>2013</v>
      </c>
      <c r="B26">
        <v>5</v>
      </c>
      <c r="C26">
        <v>21</v>
      </c>
      <c r="D26">
        <v>0</v>
      </c>
      <c r="E26">
        <v>212.42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f t="shared" si="0"/>
        <v>0</v>
      </c>
      <c r="M26">
        <f t="shared" si="1"/>
        <v>1.4398183451104001</v>
      </c>
    </row>
    <row r="27" spans="1:13">
      <c r="A27">
        <v>2013</v>
      </c>
      <c r="B27">
        <v>5</v>
      </c>
      <c r="C27">
        <v>21</v>
      </c>
      <c r="D27">
        <v>1</v>
      </c>
      <c r="E27">
        <v>182.49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f t="shared" si="0"/>
        <v>0</v>
      </c>
      <c r="M27">
        <f t="shared" si="1"/>
        <v>1.23694779116466</v>
      </c>
    </row>
    <row r="28" spans="1:13">
      <c r="A28">
        <v>2013</v>
      </c>
      <c r="B28">
        <v>5</v>
      </c>
      <c r="C28">
        <v>21</v>
      </c>
      <c r="D28">
        <v>2</v>
      </c>
      <c r="E28">
        <v>119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f t="shared" si="0"/>
        <v>0</v>
      </c>
      <c r="M28">
        <f t="shared" si="1"/>
        <v>0.80660193516682799</v>
      </c>
    </row>
    <row r="29" spans="1:13">
      <c r="A29">
        <v>2013</v>
      </c>
      <c r="B29">
        <v>5</v>
      </c>
      <c r="C29">
        <v>21</v>
      </c>
      <c r="D29">
        <v>3</v>
      </c>
      <c r="E29">
        <v>111</v>
      </c>
      <c r="F29">
        <v>0</v>
      </c>
      <c r="G29">
        <v>4.5</v>
      </c>
      <c r="H29">
        <v>0.33</v>
      </c>
      <c r="I29">
        <v>1.17</v>
      </c>
      <c r="J29">
        <v>1.5</v>
      </c>
      <c r="K29">
        <v>0</v>
      </c>
      <c r="L29" s="1">
        <f t="shared" si="0"/>
        <v>1.63273137557262</v>
      </c>
      <c r="M29">
        <f t="shared" si="1"/>
        <v>0.75237659498754506</v>
      </c>
    </row>
    <row r="30" spans="1:13">
      <c r="A30">
        <v>2013</v>
      </c>
      <c r="B30">
        <v>5</v>
      </c>
      <c r="C30">
        <v>21</v>
      </c>
      <c r="D30">
        <v>4</v>
      </c>
      <c r="E30">
        <v>130.28</v>
      </c>
      <c r="F30">
        <v>1</v>
      </c>
      <c r="G30">
        <v>2.5</v>
      </c>
      <c r="H30">
        <v>0.67</v>
      </c>
      <c r="I30">
        <v>2.33</v>
      </c>
      <c r="J30">
        <v>4.5</v>
      </c>
      <c r="K30">
        <v>0.5</v>
      </c>
      <c r="L30" s="1">
        <f t="shared" si="0"/>
        <v>1.6761035892279901</v>
      </c>
      <c r="M30">
        <f t="shared" si="1"/>
        <v>0.88305966481961595</v>
      </c>
    </row>
    <row r="31" spans="1:13">
      <c r="A31">
        <v>2013</v>
      </c>
      <c r="B31">
        <v>5</v>
      </c>
      <c r="C31">
        <v>21</v>
      </c>
      <c r="D31">
        <v>5</v>
      </c>
      <c r="E31">
        <v>144.25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f t="shared" si="0"/>
        <v>0</v>
      </c>
      <c r="M31">
        <f t="shared" si="1"/>
        <v>0.97775066510768804</v>
      </c>
    </row>
    <row r="32" spans="1:13">
      <c r="A32">
        <v>2013</v>
      </c>
      <c r="B32">
        <v>5</v>
      </c>
      <c r="C32">
        <v>21</v>
      </c>
      <c r="D32">
        <v>6</v>
      </c>
      <c r="E32">
        <v>129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s="1">
        <f t="shared" si="0"/>
        <v>0</v>
      </c>
      <c r="M32">
        <f t="shared" si="1"/>
        <v>0.87438361039093104</v>
      </c>
    </row>
    <row r="33" spans="1:13">
      <c r="A33">
        <v>2013</v>
      </c>
      <c r="B33">
        <v>5</v>
      </c>
      <c r="C33">
        <v>21</v>
      </c>
      <c r="D33">
        <v>7</v>
      </c>
      <c r="E33">
        <v>83.2</v>
      </c>
      <c r="F33">
        <v>0.5</v>
      </c>
      <c r="G33">
        <v>0</v>
      </c>
      <c r="H33">
        <v>0</v>
      </c>
      <c r="I33">
        <v>0</v>
      </c>
      <c r="J33">
        <v>0</v>
      </c>
      <c r="K33">
        <v>3</v>
      </c>
      <c r="L33" s="1">
        <f t="shared" si="0"/>
        <v>0.52275110757140297</v>
      </c>
      <c r="M33">
        <f t="shared" si="1"/>
        <v>0.56394353786453799</v>
      </c>
    </row>
    <row r="34" spans="1:13">
      <c r="A34">
        <v>2013</v>
      </c>
      <c r="B34">
        <v>5</v>
      </c>
      <c r="C34">
        <v>21</v>
      </c>
      <c r="D34">
        <v>8</v>
      </c>
      <c r="E34">
        <v>80.2</v>
      </c>
      <c r="F34">
        <v>3</v>
      </c>
      <c r="G34">
        <v>0</v>
      </c>
      <c r="H34">
        <v>0</v>
      </c>
      <c r="I34">
        <v>1</v>
      </c>
      <c r="J34">
        <v>0.5</v>
      </c>
      <c r="K34">
        <v>0</v>
      </c>
      <c r="L34" s="1">
        <f t="shared" si="0"/>
        <v>0.83952217684615504</v>
      </c>
      <c r="M34">
        <f t="shared" si="1"/>
        <v>0.54360903529730698</v>
      </c>
    </row>
    <row r="35" spans="1:13">
      <c r="A35">
        <v>2013</v>
      </c>
      <c r="B35">
        <v>5</v>
      </c>
      <c r="C35">
        <v>21</v>
      </c>
      <c r="D35">
        <v>9</v>
      </c>
      <c r="E35">
        <v>101</v>
      </c>
      <c r="F35">
        <v>4.5</v>
      </c>
      <c r="G35">
        <v>0</v>
      </c>
      <c r="H35">
        <v>0</v>
      </c>
      <c r="I35">
        <v>0</v>
      </c>
      <c r="J35">
        <v>0</v>
      </c>
      <c r="K35">
        <v>7</v>
      </c>
      <c r="L35" s="1">
        <f t="shared" si="0"/>
        <v>1.9799742806199001</v>
      </c>
      <c r="M35">
        <f t="shared" si="1"/>
        <v>0.684594919763442</v>
      </c>
    </row>
    <row r="36" spans="1:13">
      <c r="A36">
        <v>2013</v>
      </c>
      <c r="B36">
        <v>5</v>
      </c>
      <c r="C36">
        <v>21</v>
      </c>
      <c r="D36">
        <v>10</v>
      </c>
      <c r="E36">
        <v>113.85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1">
        <f t="shared" si="0"/>
        <v>0</v>
      </c>
      <c r="M36">
        <f t="shared" si="1"/>
        <v>0.77169437242641403</v>
      </c>
    </row>
    <row r="37" spans="1:13">
      <c r="A37">
        <v>2013</v>
      </c>
      <c r="B37">
        <v>5</v>
      </c>
      <c r="C37">
        <v>21</v>
      </c>
      <c r="D37">
        <v>11</v>
      </c>
      <c r="E37">
        <v>89.3</v>
      </c>
      <c r="F37">
        <v>0.33</v>
      </c>
      <c r="G37">
        <v>0</v>
      </c>
      <c r="H37">
        <v>0</v>
      </c>
      <c r="I37">
        <v>0.5</v>
      </c>
      <c r="J37">
        <v>1</v>
      </c>
      <c r="K37">
        <v>0</v>
      </c>
      <c r="L37" s="1">
        <f t="shared" ref="L37:L68" si="2">F37*$F$2+G37*$G$2+H37*$H$2+I37*$I$2+J37*$J$2+K37*$K$2</f>
        <v>0.189137045133181</v>
      </c>
      <c r="M37">
        <f t="shared" ref="M37:M68" si="3">E37*3600/(1000*$L$1)</f>
        <v>0.60529035975124101</v>
      </c>
    </row>
    <row r="38" spans="1:13">
      <c r="A38">
        <v>2013</v>
      </c>
      <c r="B38">
        <v>5</v>
      </c>
      <c r="C38">
        <v>21</v>
      </c>
      <c r="D38">
        <v>12</v>
      </c>
      <c r="E38">
        <v>107.91</v>
      </c>
      <c r="F38">
        <v>0.67</v>
      </c>
      <c r="G38">
        <v>4.5</v>
      </c>
      <c r="H38">
        <v>0.5</v>
      </c>
      <c r="I38">
        <v>4</v>
      </c>
      <c r="J38">
        <v>2</v>
      </c>
      <c r="K38">
        <v>7.5</v>
      </c>
      <c r="L38" s="1">
        <f t="shared" si="2"/>
        <v>3.2290570627564201</v>
      </c>
      <c r="M38">
        <f t="shared" si="3"/>
        <v>0.73143205734329697</v>
      </c>
    </row>
    <row r="39" spans="1:13">
      <c r="A39">
        <v>2013</v>
      </c>
      <c r="B39">
        <v>5</v>
      </c>
      <c r="C39">
        <v>21</v>
      </c>
      <c r="D39">
        <v>13</v>
      </c>
      <c r="E39">
        <v>91.4</v>
      </c>
      <c r="F39">
        <v>0</v>
      </c>
      <c r="G39">
        <v>0</v>
      </c>
      <c r="H39">
        <v>3</v>
      </c>
      <c r="I39">
        <v>0.5</v>
      </c>
      <c r="J39">
        <v>7.5</v>
      </c>
      <c r="K39">
        <v>0.5</v>
      </c>
      <c r="L39" s="1">
        <f t="shared" si="2"/>
        <v>0.96074499592368601</v>
      </c>
      <c r="M39">
        <f t="shared" si="3"/>
        <v>0.61952451154830301</v>
      </c>
    </row>
    <row r="40" spans="1:13">
      <c r="A40">
        <v>2013</v>
      </c>
      <c r="B40">
        <v>5</v>
      </c>
      <c r="C40">
        <v>21</v>
      </c>
      <c r="D40">
        <v>14</v>
      </c>
      <c r="E40">
        <v>91.02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1">
        <f t="shared" si="2"/>
        <v>0</v>
      </c>
      <c r="M40">
        <f t="shared" si="3"/>
        <v>0.61694880788978701</v>
      </c>
    </row>
    <row r="41" spans="1:13">
      <c r="A41">
        <v>2013</v>
      </c>
      <c r="B41">
        <v>5</v>
      </c>
      <c r="C41">
        <v>21</v>
      </c>
      <c r="D41">
        <v>15</v>
      </c>
      <c r="E41">
        <v>102.34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1">
        <f t="shared" si="2"/>
        <v>0</v>
      </c>
      <c r="M41">
        <f t="shared" si="3"/>
        <v>0.69367766424347199</v>
      </c>
    </row>
    <row r="42" spans="1:13">
      <c r="A42">
        <v>2013</v>
      </c>
      <c r="B42">
        <v>5</v>
      </c>
      <c r="C42">
        <v>21</v>
      </c>
      <c r="D42">
        <v>16</v>
      </c>
      <c r="E42">
        <v>89.3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 s="1">
        <f t="shared" si="2"/>
        <v>0.15496585498110599</v>
      </c>
      <c r="M42">
        <f t="shared" si="3"/>
        <v>0.60529035975124101</v>
      </c>
    </row>
    <row r="43" spans="1:13">
      <c r="A43">
        <v>2013</v>
      </c>
      <c r="B43">
        <v>5</v>
      </c>
      <c r="C43">
        <v>21</v>
      </c>
      <c r="D43">
        <v>17</v>
      </c>
      <c r="E43">
        <v>76.03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1">
        <f t="shared" si="2"/>
        <v>0</v>
      </c>
      <c r="M43">
        <f t="shared" si="3"/>
        <v>0.51534407672885596</v>
      </c>
    </row>
    <row r="44" spans="1:13">
      <c r="A44">
        <v>2013</v>
      </c>
      <c r="B44">
        <v>5</v>
      </c>
      <c r="C44">
        <v>21</v>
      </c>
      <c r="D44">
        <v>18</v>
      </c>
      <c r="E44">
        <v>71.73</v>
      </c>
      <c r="F44">
        <v>0</v>
      </c>
      <c r="G44">
        <v>0.5</v>
      </c>
      <c r="H44">
        <v>0.5</v>
      </c>
      <c r="I44">
        <v>0</v>
      </c>
      <c r="J44">
        <v>0</v>
      </c>
      <c r="K44">
        <v>0</v>
      </c>
      <c r="L44" s="1">
        <f t="shared" si="2"/>
        <v>0.22811452090594</v>
      </c>
      <c r="M44">
        <f t="shared" si="3"/>
        <v>0.48619795638249202</v>
      </c>
    </row>
    <row r="45" spans="1:13">
      <c r="A45">
        <v>2013</v>
      </c>
      <c r="B45">
        <v>5</v>
      </c>
      <c r="C45">
        <v>21</v>
      </c>
      <c r="D45">
        <v>19</v>
      </c>
      <c r="E45">
        <v>73.81</v>
      </c>
      <c r="F45">
        <v>0</v>
      </c>
      <c r="G45">
        <v>0</v>
      </c>
      <c r="H45">
        <v>0</v>
      </c>
      <c r="I45">
        <v>0.5</v>
      </c>
      <c r="J45">
        <v>0.5</v>
      </c>
      <c r="K45">
        <v>0</v>
      </c>
      <c r="L45" s="1">
        <f t="shared" si="2"/>
        <v>8.9732582462997798E-2</v>
      </c>
      <c r="M45">
        <f t="shared" si="3"/>
        <v>0.50029654482910502</v>
      </c>
    </row>
    <row r="46" spans="1:13">
      <c r="A46">
        <v>2013</v>
      </c>
      <c r="B46">
        <v>5</v>
      </c>
      <c r="C46">
        <v>21</v>
      </c>
      <c r="D46">
        <v>20</v>
      </c>
      <c r="E46">
        <v>79.67</v>
      </c>
      <c r="F46">
        <v>0</v>
      </c>
      <c r="G46">
        <v>0</v>
      </c>
      <c r="H46">
        <v>0</v>
      </c>
      <c r="I46">
        <v>0</v>
      </c>
      <c r="J46">
        <v>0</v>
      </c>
      <c r="K46">
        <v>0.5</v>
      </c>
      <c r="L46" s="1">
        <f t="shared" si="2"/>
        <v>6.8119642188068E-2</v>
      </c>
      <c r="M46">
        <f t="shared" si="3"/>
        <v>0.54001660651043004</v>
      </c>
    </row>
    <row r="47" spans="1:13">
      <c r="A47">
        <v>2013</v>
      </c>
      <c r="B47">
        <v>5</v>
      </c>
      <c r="C47">
        <v>21</v>
      </c>
      <c r="D47">
        <v>21</v>
      </c>
      <c r="E47">
        <v>86.74</v>
      </c>
      <c r="F47">
        <v>0.33</v>
      </c>
      <c r="G47">
        <v>2.5</v>
      </c>
      <c r="H47">
        <v>3</v>
      </c>
      <c r="I47">
        <v>0.5</v>
      </c>
      <c r="J47">
        <v>1</v>
      </c>
      <c r="K47">
        <v>0</v>
      </c>
      <c r="L47" s="1">
        <f t="shared" si="2"/>
        <v>1.4071925771534299</v>
      </c>
      <c r="M47">
        <f t="shared" si="3"/>
        <v>0.58793825089387097</v>
      </c>
    </row>
    <row r="48" spans="1:13">
      <c r="A48">
        <v>2013</v>
      </c>
      <c r="B48">
        <v>5</v>
      </c>
      <c r="C48">
        <v>21</v>
      </c>
      <c r="D48">
        <v>22</v>
      </c>
      <c r="E48">
        <v>92.4</v>
      </c>
      <c r="F48">
        <v>0.67</v>
      </c>
      <c r="G48">
        <v>14</v>
      </c>
      <c r="H48">
        <v>7.5</v>
      </c>
      <c r="I48">
        <v>6.5</v>
      </c>
      <c r="J48">
        <v>4.5</v>
      </c>
      <c r="K48">
        <v>0.5</v>
      </c>
      <c r="L48" s="1">
        <f t="shared" si="2"/>
        <v>6.6708062441985501</v>
      </c>
      <c r="M48">
        <f t="shared" si="3"/>
        <v>0.62630267907071302</v>
      </c>
    </row>
    <row r="49" spans="1:13">
      <c r="A49">
        <v>2013</v>
      </c>
      <c r="B49">
        <v>5</v>
      </c>
      <c r="C49">
        <v>21</v>
      </c>
      <c r="D49">
        <v>23</v>
      </c>
      <c r="E49">
        <v>96.05</v>
      </c>
      <c r="F49">
        <v>7.5</v>
      </c>
      <c r="G49">
        <v>5.5</v>
      </c>
      <c r="H49">
        <v>10</v>
      </c>
      <c r="I49">
        <v>3.5</v>
      </c>
      <c r="J49">
        <v>4</v>
      </c>
      <c r="K49">
        <v>4.5</v>
      </c>
      <c r="L49" s="1">
        <f t="shared" si="2"/>
        <v>6.1824522656966403</v>
      </c>
      <c r="M49">
        <f t="shared" si="3"/>
        <v>0.65104299052751102</v>
      </c>
    </row>
    <row r="50" spans="1:13">
      <c r="A50">
        <v>2013</v>
      </c>
      <c r="B50">
        <v>5</v>
      </c>
      <c r="C50">
        <v>22</v>
      </c>
      <c r="D50">
        <v>0</v>
      </c>
      <c r="E50">
        <v>105</v>
      </c>
      <c r="F50">
        <v>3.5</v>
      </c>
      <c r="G50">
        <v>9</v>
      </c>
      <c r="H50">
        <v>19</v>
      </c>
      <c r="I50">
        <v>4</v>
      </c>
      <c r="J50">
        <v>10.5</v>
      </c>
      <c r="K50">
        <v>2.5</v>
      </c>
      <c r="L50" s="1">
        <f t="shared" si="2"/>
        <v>7.8262642694547599</v>
      </c>
      <c r="M50">
        <f t="shared" si="3"/>
        <v>0.71170758985308302</v>
      </c>
    </row>
    <row r="51" spans="1:13">
      <c r="A51">
        <v>2013</v>
      </c>
      <c r="B51">
        <v>5</v>
      </c>
      <c r="C51">
        <v>22</v>
      </c>
      <c r="D51">
        <v>1</v>
      </c>
      <c r="E51">
        <v>167.78</v>
      </c>
      <c r="F51">
        <v>5</v>
      </c>
      <c r="G51">
        <v>5.5</v>
      </c>
      <c r="H51">
        <v>18</v>
      </c>
      <c r="I51">
        <v>11</v>
      </c>
      <c r="J51">
        <v>12</v>
      </c>
      <c r="K51">
        <v>7.5</v>
      </c>
      <c r="L51" s="1">
        <f t="shared" si="2"/>
        <v>8.6308619381417007</v>
      </c>
      <c r="M51">
        <f t="shared" si="3"/>
        <v>1.13724094691</v>
      </c>
    </row>
    <row r="52" spans="1:13">
      <c r="A52">
        <v>2013</v>
      </c>
      <c r="B52">
        <v>5</v>
      </c>
      <c r="C52">
        <v>22</v>
      </c>
      <c r="D52">
        <v>2</v>
      </c>
      <c r="E52">
        <v>289.02999999999997</v>
      </c>
      <c r="F52">
        <v>1.5</v>
      </c>
      <c r="G52">
        <v>7</v>
      </c>
      <c r="H52">
        <v>8</v>
      </c>
      <c r="I52">
        <v>2</v>
      </c>
      <c r="J52">
        <v>15.5</v>
      </c>
      <c r="K52">
        <v>1.1200000000000001</v>
      </c>
      <c r="L52" s="1">
        <f t="shared" si="2"/>
        <v>4.8540351372673101</v>
      </c>
      <c r="M52">
        <f t="shared" si="3"/>
        <v>1.9590937590022499</v>
      </c>
    </row>
    <row r="53" spans="1:13">
      <c r="A53">
        <v>2013</v>
      </c>
      <c r="B53">
        <v>5</v>
      </c>
      <c r="C53">
        <v>22</v>
      </c>
      <c r="D53">
        <v>3</v>
      </c>
      <c r="E53">
        <v>367</v>
      </c>
      <c r="F53">
        <v>1</v>
      </c>
      <c r="G53">
        <v>0</v>
      </c>
      <c r="H53">
        <v>0</v>
      </c>
      <c r="I53">
        <v>0</v>
      </c>
      <c r="J53">
        <v>0</v>
      </c>
      <c r="K53">
        <v>0.38</v>
      </c>
      <c r="L53" s="1">
        <f t="shared" si="2"/>
        <v>0.27983743694892099</v>
      </c>
      <c r="M53">
        <f t="shared" si="3"/>
        <v>2.4875874807245899</v>
      </c>
    </row>
    <row r="54" spans="1:13">
      <c r="A54">
        <v>2013</v>
      </c>
      <c r="B54">
        <v>5</v>
      </c>
      <c r="C54">
        <v>22</v>
      </c>
      <c r="D54">
        <v>4</v>
      </c>
      <c r="E54">
        <v>319.62</v>
      </c>
      <c r="F54">
        <v>8.5</v>
      </c>
      <c r="G54">
        <v>4</v>
      </c>
      <c r="H54">
        <v>17</v>
      </c>
      <c r="I54">
        <v>4.5</v>
      </c>
      <c r="J54">
        <v>3.5</v>
      </c>
      <c r="K54">
        <v>4.5</v>
      </c>
      <c r="L54" s="1">
        <f t="shared" si="2"/>
        <v>7.1504225999167801</v>
      </c>
      <c r="M54">
        <f t="shared" si="3"/>
        <v>2.1664379035127901</v>
      </c>
    </row>
    <row r="55" spans="1:13">
      <c r="A55">
        <v>2013</v>
      </c>
      <c r="B55">
        <v>5</v>
      </c>
      <c r="C55">
        <v>22</v>
      </c>
      <c r="D55">
        <v>5</v>
      </c>
      <c r="E55">
        <v>290.64</v>
      </c>
      <c r="F55">
        <v>3.5</v>
      </c>
      <c r="G55">
        <v>1.41</v>
      </c>
      <c r="H55">
        <v>1.65</v>
      </c>
      <c r="I55">
        <v>3.5</v>
      </c>
      <c r="J55">
        <v>3</v>
      </c>
      <c r="K55">
        <v>1.67</v>
      </c>
      <c r="L55" s="1">
        <f t="shared" si="2"/>
        <v>2.3102127026625001</v>
      </c>
      <c r="M55">
        <f t="shared" si="3"/>
        <v>1.9700066087133301</v>
      </c>
    </row>
    <row r="56" spans="1:13">
      <c r="A56">
        <v>2013</v>
      </c>
      <c r="B56">
        <v>5</v>
      </c>
      <c r="C56">
        <v>22</v>
      </c>
      <c r="D56">
        <v>6</v>
      </c>
      <c r="E56">
        <v>280.27</v>
      </c>
      <c r="F56">
        <v>0</v>
      </c>
      <c r="G56">
        <v>1.0900000000000001</v>
      </c>
      <c r="H56">
        <v>0.35</v>
      </c>
      <c r="I56">
        <v>1</v>
      </c>
      <c r="J56">
        <v>0.5</v>
      </c>
      <c r="K56">
        <v>1.33</v>
      </c>
      <c r="L56" s="1">
        <f t="shared" si="2"/>
        <v>0.71913582129737996</v>
      </c>
      <c r="M56">
        <f t="shared" si="3"/>
        <v>1.8997170115059401</v>
      </c>
    </row>
    <row r="57" spans="1:13">
      <c r="A57">
        <v>2013</v>
      </c>
      <c r="B57">
        <v>5</v>
      </c>
      <c r="C57">
        <v>22</v>
      </c>
      <c r="D57">
        <v>7</v>
      </c>
      <c r="E57">
        <v>259.83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1">
        <f t="shared" si="2"/>
        <v>0</v>
      </c>
      <c r="M57">
        <f t="shared" si="3"/>
        <v>1.7611712673478701</v>
      </c>
    </row>
    <row r="58" spans="1:13">
      <c r="A58">
        <v>2013</v>
      </c>
      <c r="B58">
        <v>5</v>
      </c>
      <c r="C58">
        <v>22</v>
      </c>
      <c r="D58">
        <v>8</v>
      </c>
      <c r="E58">
        <v>214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1">
        <f t="shared" si="2"/>
        <v>0</v>
      </c>
      <c r="M58">
        <f t="shared" si="3"/>
        <v>1.4505278497958101</v>
      </c>
    </row>
    <row r="59" spans="1:13">
      <c r="A59">
        <v>2013</v>
      </c>
      <c r="B59">
        <v>5</v>
      </c>
      <c r="C59">
        <v>22</v>
      </c>
      <c r="D59">
        <v>9</v>
      </c>
      <c r="E59">
        <v>216</v>
      </c>
      <c r="F59">
        <v>6</v>
      </c>
      <c r="G59">
        <v>0</v>
      </c>
      <c r="H59">
        <v>1</v>
      </c>
      <c r="I59">
        <v>2.5</v>
      </c>
      <c r="J59">
        <v>1</v>
      </c>
      <c r="K59">
        <v>21</v>
      </c>
      <c r="L59" s="1">
        <f t="shared" si="2"/>
        <v>4.76062524829746</v>
      </c>
      <c r="M59">
        <f t="shared" si="3"/>
        <v>1.4640841848406301</v>
      </c>
    </row>
    <row r="60" spans="1:13">
      <c r="A60">
        <v>2013</v>
      </c>
      <c r="B60">
        <v>5</v>
      </c>
      <c r="C60">
        <v>22</v>
      </c>
      <c r="D60">
        <v>10</v>
      </c>
      <c r="E60">
        <v>224</v>
      </c>
      <c r="F60">
        <v>2</v>
      </c>
      <c r="G60">
        <v>6</v>
      </c>
      <c r="H60">
        <v>16</v>
      </c>
      <c r="I60">
        <v>10.5</v>
      </c>
      <c r="J60">
        <v>11.5</v>
      </c>
      <c r="K60">
        <v>18</v>
      </c>
      <c r="L60" s="1">
        <f t="shared" si="2"/>
        <v>9.1281421984233297</v>
      </c>
      <c r="M60">
        <f t="shared" si="3"/>
        <v>1.5183095250199099</v>
      </c>
    </row>
    <row r="61" spans="1:13">
      <c r="A61">
        <v>2013</v>
      </c>
      <c r="B61">
        <v>5</v>
      </c>
      <c r="C61">
        <v>22</v>
      </c>
      <c r="D61">
        <v>11</v>
      </c>
      <c r="E61">
        <v>228.69</v>
      </c>
      <c r="F61">
        <v>19.5</v>
      </c>
      <c r="G61">
        <v>3</v>
      </c>
      <c r="H61">
        <v>0</v>
      </c>
      <c r="I61">
        <v>10.5</v>
      </c>
      <c r="J61">
        <v>8.5</v>
      </c>
      <c r="K61">
        <v>3.5</v>
      </c>
      <c r="L61" s="1">
        <f t="shared" si="2"/>
        <v>7.6157381518573102</v>
      </c>
      <c r="M61">
        <f t="shared" si="3"/>
        <v>1.55009913070002</v>
      </c>
    </row>
    <row r="62" spans="1:13">
      <c r="A62">
        <v>2013</v>
      </c>
      <c r="B62">
        <v>5</v>
      </c>
      <c r="C62">
        <v>22</v>
      </c>
      <c r="D62">
        <v>12</v>
      </c>
      <c r="E62">
        <v>232.81</v>
      </c>
      <c r="F62">
        <v>0</v>
      </c>
      <c r="G62">
        <v>1</v>
      </c>
      <c r="H62">
        <v>20</v>
      </c>
      <c r="I62">
        <v>1</v>
      </c>
      <c r="J62">
        <v>4</v>
      </c>
      <c r="K62">
        <v>0</v>
      </c>
      <c r="L62" s="1">
        <f t="shared" si="2"/>
        <v>3.7249005398057302</v>
      </c>
      <c r="M62">
        <f t="shared" si="3"/>
        <v>1.57802518089235</v>
      </c>
    </row>
    <row r="63" spans="1:13">
      <c r="A63">
        <v>2013</v>
      </c>
      <c r="B63">
        <v>5</v>
      </c>
      <c r="C63">
        <v>22</v>
      </c>
      <c r="D63">
        <v>13</v>
      </c>
      <c r="E63">
        <v>136.9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1">
        <f t="shared" si="2"/>
        <v>0</v>
      </c>
      <c r="M63">
        <f t="shared" si="3"/>
        <v>0.92793113381797199</v>
      </c>
    </row>
    <row r="64" spans="1:13">
      <c r="A64">
        <v>2013</v>
      </c>
      <c r="B64">
        <v>5</v>
      </c>
      <c r="C64">
        <v>22</v>
      </c>
      <c r="D64">
        <v>14</v>
      </c>
      <c r="E64">
        <v>259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1">
        <f t="shared" si="2"/>
        <v>0</v>
      </c>
      <c r="M64">
        <f t="shared" si="3"/>
        <v>1.75554538830427</v>
      </c>
    </row>
    <row r="65" spans="1:13">
      <c r="A65">
        <v>2013</v>
      </c>
      <c r="B65">
        <v>5</v>
      </c>
      <c r="C65">
        <v>22</v>
      </c>
      <c r="D65">
        <v>15</v>
      </c>
      <c r="E65">
        <v>217.76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>
        <f t="shared" si="2"/>
        <v>0</v>
      </c>
      <c r="M65">
        <f t="shared" si="3"/>
        <v>1.47601375968007</v>
      </c>
    </row>
    <row r="66" spans="1:13">
      <c r="A66">
        <v>2013</v>
      </c>
      <c r="B66">
        <v>5</v>
      </c>
      <c r="C66">
        <v>22</v>
      </c>
      <c r="D66">
        <v>16</v>
      </c>
      <c r="E66">
        <v>221.52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1">
        <f t="shared" si="2"/>
        <v>0</v>
      </c>
      <c r="M66">
        <f t="shared" si="3"/>
        <v>1.5014996695643299</v>
      </c>
    </row>
    <row r="67" spans="1:13">
      <c r="A67">
        <v>2013</v>
      </c>
      <c r="B67">
        <v>5</v>
      </c>
      <c r="C67">
        <v>22</v>
      </c>
      <c r="D67">
        <v>17</v>
      </c>
      <c r="E67">
        <v>230.84</v>
      </c>
      <c r="F67">
        <v>0</v>
      </c>
      <c r="G67">
        <v>0</v>
      </c>
      <c r="H67">
        <v>0</v>
      </c>
      <c r="I67">
        <v>0.5</v>
      </c>
      <c r="J67">
        <v>0</v>
      </c>
      <c r="K67">
        <v>0</v>
      </c>
      <c r="L67" s="1">
        <f t="shared" si="2"/>
        <v>6.5590067725190507E-2</v>
      </c>
      <c r="M67">
        <f t="shared" si="3"/>
        <v>1.5646721908732</v>
      </c>
    </row>
    <row r="68" spans="1:13">
      <c r="A68">
        <v>2013</v>
      </c>
      <c r="B68">
        <v>5</v>
      </c>
      <c r="C68">
        <v>22</v>
      </c>
      <c r="D68">
        <v>18</v>
      </c>
      <c r="E68">
        <v>161.41999999999999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1">
        <f t="shared" si="2"/>
        <v>0</v>
      </c>
      <c r="M68">
        <f t="shared" si="3"/>
        <v>1.0941318014674699</v>
      </c>
    </row>
    <row r="69" spans="1:13">
      <c r="A69">
        <v>2013</v>
      </c>
      <c r="B69">
        <v>5</v>
      </c>
      <c r="C69">
        <v>22</v>
      </c>
      <c r="D69">
        <v>19</v>
      </c>
      <c r="E69">
        <v>195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f t="shared" ref="L69:L100" si="4">F69*$F$2+G69*$G$2+H69*$H$2+I69*$I$2+J69*$J$2+K69*$K$2</f>
        <v>0</v>
      </c>
      <c r="M69">
        <f t="shared" ref="M69:M100" si="5">E69*3600/(1000*$L$1)</f>
        <v>1.3217426668700101</v>
      </c>
    </row>
    <row r="70" spans="1:13">
      <c r="A70">
        <v>2013</v>
      </c>
      <c r="B70">
        <v>5</v>
      </c>
      <c r="C70">
        <v>22</v>
      </c>
      <c r="D70">
        <v>20</v>
      </c>
      <c r="E70">
        <v>139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1">
        <f t="shared" si="4"/>
        <v>0</v>
      </c>
      <c r="M70">
        <f t="shared" si="5"/>
        <v>0.94216528561503399</v>
      </c>
    </row>
    <row r="71" spans="1:13">
      <c r="A71">
        <v>2013</v>
      </c>
      <c r="B71">
        <v>5</v>
      </c>
      <c r="C71">
        <v>22</v>
      </c>
      <c r="D71">
        <v>21</v>
      </c>
      <c r="E71">
        <v>156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1">
        <f t="shared" si="4"/>
        <v>0</v>
      </c>
      <c r="M71">
        <f t="shared" si="5"/>
        <v>1.05739413349601</v>
      </c>
    </row>
    <row r="72" spans="1:13">
      <c r="A72">
        <v>2013</v>
      </c>
      <c r="B72">
        <v>5</v>
      </c>
      <c r="C72">
        <v>22</v>
      </c>
      <c r="D72">
        <v>22</v>
      </c>
      <c r="E72">
        <v>160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1">
        <f t="shared" si="4"/>
        <v>0</v>
      </c>
      <c r="M72">
        <f t="shared" si="5"/>
        <v>1.08450680358565</v>
      </c>
    </row>
    <row r="73" spans="1:13">
      <c r="A73">
        <v>2013</v>
      </c>
      <c r="B73">
        <v>5</v>
      </c>
      <c r="C73">
        <v>22</v>
      </c>
      <c r="D73">
        <v>23</v>
      </c>
      <c r="E73">
        <v>132.68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1">
        <f t="shared" si="4"/>
        <v>0</v>
      </c>
      <c r="M73">
        <f t="shared" si="5"/>
        <v>0.89932726687340103</v>
      </c>
    </row>
    <row r="74" spans="1:13">
      <c r="A74">
        <v>2013</v>
      </c>
      <c r="B74">
        <v>5</v>
      </c>
      <c r="C74">
        <v>23</v>
      </c>
      <c r="D74">
        <v>0</v>
      </c>
      <c r="E74">
        <v>112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1">
        <f t="shared" si="4"/>
        <v>0</v>
      </c>
      <c r="M74">
        <f t="shared" si="5"/>
        <v>0.75915476250995495</v>
      </c>
    </row>
    <row r="75" spans="1:13">
      <c r="A75">
        <v>2013</v>
      </c>
      <c r="B75">
        <v>5</v>
      </c>
      <c r="C75">
        <v>23</v>
      </c>
      <c r="D75">
        <v>1</v>
      </c>
      <c r="E75">
        <v>126.53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1">
        <f t="shared" si="4"/>
        <v>0</v>
      </c>
      <c r="M75">
        <f t="shared" si="5"/>
        <v>0.85764153661057696</v>
      </c>
    </row>
    <row r="76" spans="1:13">
      <c r="A76">
        <v>2013</v>
      </c>
      <c r="B76">
        <v>5</v>
      </c>
      <c r="C76">
        <v>23</v>
      </c>
      <c r="D76">
        <v>2</v>
      </c>
      <c r="E76">
        <v>139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1">
        <f t="shared" si="4"/>
        <v>0</v>
      </c>
      <c r="M76">
        <f t="shared" si="5"/>
        <v>0.94216528561503399</v>
      </c>
    </row>
    <row r="77" spans="1:13">
      <c r="A77">
        <v>2013</v>
      </c>
      <c r="B77">
        <v>5</v>
      </c>
      <c r="C77">
        <v>23</v>
      </c>
      <c r="D77">
        <v>3</v>
      </c>
      <c r="E77">
        <v>124.22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1">
        <f t="shared" si="4"/>
        <v>0</v>
      </c>
      <c r="M77">
        <f t="shared" si="5"/>
        <v>0.84198396963380995</v>
      </c>
    </row>
    <row r="78" spans="1:13">
      <c r="A78">
        <v>2013</v>
      </c>
      <c r="B78">
        <v>5</v>
      </c>
      <c r="C78">
        <v>23</v>
      </c>
      <c r="D78">
        <v>4</v>
      </c>
      <c r="E78">
        <v>102.05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f t="shared" si="4"/>
        <v>0</v>
      </c>
      <c r="M78">
        <f t="shared" si="5"/>
        <v>0.69171199566197294</v>
      </c>
    </row>
    <row r="79" spans="1:13">
      <c r="A79">
        <v>2013</v>
      </c>
      <c r="B79">
        <v>5</v>
      </c>
      <c r="C79">
        <v>23</v>
      </c>
      <c r="D79">
        <v>5</v>
      </c>
      <c r="E79">
        <v>103.6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1">
        <f t="shared" si="4"/>
        <v>0</v>
      </c>
      <c r="M79">
        <f t="shared" si="5"/>
        <v>0.70221815532170895</v>
      </c>
    </row>
    <row r="80" spans="1:13">
      <c r="A80">
        <v>2013</v>
      </c>
      <c r="B80">
        <v>5</v>
      </c>
      <c r="C80">
        <v>23</v>
      </c>
      <c r="D80">
        <v>6</v>
      </c>
      <c r="E80">
        <v>112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1">
        <f t="shared" si="4"/>
        <v>0</v>
      </c>
      <c r="M80">
        <f t="shared" si="5"/>
        <v>0.75915476250995495</v>
      </c>
    </row>
    <row r="81" spans="1:13">
      <c r="A81">
        <v>2013</v>
      </c>
      <c r="B81">
        <v>5</v>
      </c>
      <c r="C81">
        <v>23</v>
      </c>
      <c r="D81">
        <v>7</v>
      </c>
      <c r="E81">
        <v>69.099999999999994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1">
        <f t="shared" si="4"/>
        <v>0</v>
      </c>
      <c r="M81">
        <f t="shared" si="5"/>
        <v>0.46837137579855298</v>
      </c>
    </row>
    <row r="82" spans="1:13">
      <c r="A82">
        <v>2013</v>
      </c>
      <c r="B82">
        <v>5</v>
      </c>
      <c r="C82">
        <v>23</v>
      </c>
      <c r="D82">
        <v>8</v>
      </c>
      <c r="E82">
        <v>110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1">
        <f t="shared" si="4"/>
        <v>0</v>
      </c>
      <c r="M82">
        <f t="shared" si="5"/>
        <v>0.74559842746513505</v>
      </c>
    </row>
    <row r="83" spans="1:13">
      <c r="A83">
        <v>2013</v>
      </c>
      <c r="B83">
        <v>5</v>
      </c>
      <c r="C83">
        <v>23</v>
      </c>
      <c r="D83">
        <v>9</v>
      </c>
      <c r="E83">
        <v>102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1">
        <f t="shared" si="4"/>
        <v>0</v>
      </c>
      <c r="M83">
        <f t="shared" si="5"/>
        <v>0.69137308728585201</v>
      </c>
    </row>
    <row r="84" spans="1:13">
      <c r="A84">
        <v>2013</v>
      </c>
      <c r="B84">
        <v>5</v>
      </c>
      <c r="C84">
        <v>23</v>
      </c>
      <c r="D84">
        <v>10</v>
      </c>
      <c r="E84">
        <v>84.2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1">
        <f t="shared" si="4"/>
        <v>0</v>
      </c>
      <c r="M84">
        <f t="shared" si="5"/>
        <v>0.570721705386949</v>
      </c>
    </row>
    <row r="85" spans="1:13">
      <c r="A85">
        <v>2013</v>
      </c>
      <c r="B85">
        <v>5</v>
      </c>
      <c r="C85">
        <v>23</v>
      </c>
      <c r="D85">
        <v>11</v>
      </c>
      <c r="E85">
        <v>92.61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1">
        <f t="shared" si="4"/>
        <v>0</v>
      </c>
      <c r="M85">
        <f t="shared" si="5"/>
        <v>0.62772609425041903</v>
      </c>
    </row>
    <row r="86" spans="1:13">
      <c r="A86">
        <v>2013</v>
      </c>
      <c r="B86">
        <v>5</v>
      </c>
      <c r="C86">
        <v>23</v>
      </c>
      <c r="D86">
        <v>12</v>
      </c>
      <c r="E86">
        <v>94.04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1">
        <f t="shared" si="4"/>
        <v>0</v>
      </c>
      <c r="M86">
        <f t="shared" si="5"/>
        <v>0.63741887380746598</v>
      </c>
    </row>
    <row r="87" spans="1:13">
      <c r="A87">
        <v>2013</v>
      </c>
      <c r="B87">
        <v>5</v>
      </c>
      <c r="C87">
        <v>23</v>
      </c>
      <c r="D87">
        <v>13</v>
      </c>
      <c r="E87">
        <v>96.49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1">
        <f t="shared" si="4"/>
        <v>0</v>
      </c>
      <c r="M87">
        <f t="shared" si="5"/>
        <v>0.654025384237371</v>
      </c>
    </row>
    <row r="88" spans="1:13">
      <c r="A88">
        <v>2013</v>
      </c>
      <c r="B88">
        <v>5</v>
      </c>
      <c r="C88">
        <v>23</v>
      </c>
      <c r="D88">
        <v>14</v>
      </c>
      <c r="E88">
        <v>103.39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1">
        <f t="shared" si="4"/>
        <v>0</v>
      </c>
      <c r="M88">
        <f t="shared" si="5"/>
        <v>0.70079474014200305</v>
      </c>
    </row>
    <row r="89" spans="1:13">
      <c r="A89">
        <v>2013</v>
      </c>
      <c r="B89">
        <v>5</v>
      </c>
      <c r="C89">
        <v>23</v>
      </c>
      <c r="D89">
        <v>15</v>
      </c>
      <c r="E89">
        <v>88.07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">
        <f t="shared" si="4"/>
        <v>0</v>
      </c>
      <c r="M89">
        <f t="shared" si="5"/>
        <v>0.59695321369867704</v>
      </c>
    </row>
    <row r="90" spans="1:13">
      <c r="A90">
        <v>2013</v>
      </c>
      <c r="B90">
        <v>5</v>
      </c>
      <c r="C90">
        <v>23</v>
      </c>
      <c r="D90">
        <v>16</v>
      </c>
      <c r="E90">
        <v>88.48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f t="shared" si="4"/>
        <v>0</v>
      </c>
      <c r="M90">
        <f t="shared" si="5"/>
        <v>0.59973226238286503</v>
      </c>
    </row>
    <row r="91" spans="1:13">
      <c r="A91">
        <v>2013</v>
      </c>
      <c r="B91">
        <v>5</v>
      </c>
      <c r="C91">
        <v>23</v>
      </c>
      <c r="D91">
        <v>17</v>
      </c>
      <c r="E91">
        <v>99.59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f t="shared" si="4"/>
        <v>0</v>
      </c>
      <c r="M91">
        <f t="shared" si="5"/>
        <v>0.67503770355684301</v>
      </c>
    </row>
    <row r="92" spans="1:13">
      <c r="A92">
        <v>2013</v>
      </c>
      <c r="B92">
        <v>5</v>
      </c>
      <c r="C92">
        <v>23</v>
      </c>
      <c r="D92">
        <v>18</v>
      </c>
      <c r="E92">
        <v>94.65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f t="shared" si="4"/>
        <v>0</v>
      </c>
      <c r="M92">
        <f t="shared" si="5"/>
        <v>0.64155355599613595</v>
      </c>
    </row>
    <row r="93" spans="1:13">
      <c r="A93">
        <v>2013</v>
      </c>
      <c r="B93">
        <v>5</v>
      </c>
      <c r="C93">
        <v>23</v>
      </c>
      <c r="D93">
        <v>19</v>
      </c>
      <c r="E93">
        <v>95.91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1">
        <f t="shared" si="4"/>
        <v>0</v>
      </c>
      <c r="M93">
        <f t="shared" si="5"/>
        <v>0.65009404707437302</v>
      </c>
    </row>
    <row r="94" spans="1:13">
      <c r="A94">
        <v>2013</v>
      </c>
      <c r="B94">
        <v>5</v>
      </c>
      <c r="C94">
        <v>23</v>
      </c>
      <c r="D94">
        <v>20</v>
      </c>
      <c r="E94">
        <v>93.5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1">
        <f t="shared" si="4"/>
        <v>0</v>
      </c>
      <c r="M94">
        <f t="shared" si="5"/>
        <v>0.63375866334536501</v>
      </c>
    </row>
    <row r="95" spans="1:13">
      <c r="A95">
        <v>2013</v>
      </c>
      <c r="B95">
        <v>5</v>
      </c>
      <c r="C95">
        <v>23</v>
      </c>
      <c r="D95">
        <v>21</v>
      </c>
      <c r="E95">
        <v>83.2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1">
        <f t="shared" si="4"/>
        <v>0</v>
      </c>
      <c r="M95">
        <f t="shared" si="5"/>
        <v>0.56394353786453799</v>
      </c>
    </row>
    <row r="96" spans="1:13">
      <c r="A96">
        <v>2013</v>
      </c>
      <c r="B96">
        <v>5</v>
      </c>
      <c r="C96">
        <v>23</v>
      </c>
      <c r="D96">
        <v>22</v>
      </c>
      <c r="E96">
        <v>81.06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1">
        <f t="shared" si="4"/>
        <v>0</v>
      </c>
      <c r="M96">
        <f t="shared" si="5"/>
        <v>0.54943825936657997</v>
      </c>
    </row>
    <row r="97" spans="1:13">
      <c r="A97">
        <v>2013</v>
      </c>
      <c r="B97">
        <v>5</v>
      </c>
      <c r="C97">
        <v>23</v>
      </c>
      <c r="D97">
        <v>23</v>
      </c>
      <c r="E97">
        <v>86.59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1">
        <f t="shared" si="4"/>
        <v>0</v>
      </c>
      <c r="M97">
        <f t="shared" si="5"/>
        <v>0.58692152576550904</v>
      </c>
    </row>
    <row r="98" spans="1:13">
      <c r="A98">
        <v>2013</v>
      </c>
      <c r="B98">
        <v>5</v>
      </c>
      <c r="C98">
        <v>24</v>
      </c>
      <c r="D98">
        <v>0</v>
      </c>
      <c r="E98">
        <v>93.5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1">
        <f t="shared" si="4"/>
        <v>0</v>
      </c>
      <c r="M98">
        <f t="shared" si="5"/>
        <v>0.63375866334536501</v>
      </c>
    </row>
    <row r="99" spans="1:13">
      <c r="A99">
        <v>2013</v>
      </c>
      <c r="B99">
        <v>5</v>
      </c>
      <c r="C99">
        <v>24</v>
      </c>
      <c r="D99">
        <v>1</v>
      </c>
      <c r="E99">
        <v>96.77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1">
        <f t="shared" si="4"/>
        <v>0</v>
      </c>
      <c r="M99">
        <f t="shared" si="5"/>
        <v>0.65592327114364601</v>
      </c>
    </row>
    <row r="100" spans="1:13">
      <c r="A100">
        <v>2013</v>
      </c>
      <c r="B100">
        <v>5</v>
      </c>
      <c r="C100">
        <v>24</v>
      </c>
      <c r="D100">
        <v>2</v>
      </c>
      <c r="E100">
        <v>96.26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1">
        <f t="shared" si="4"/>
        <v>0</v>
      </c>
      <c r="M100">
        <f t="shared" si="5"/>
        <v>0.65246640570721703</v>
      </c>
    </row>
    <row r="101" spans="1:13">
      <c r="A101">
        <v>2013</v>
      </c>
      <c r="B101">
        <v>5</v>
      </c>
      <c r="C101">
        <v>24</v>
      </c>
      <c r="D101">
        <v>3</v>
      </c>
      <c r="E101">
        <v>93.11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1">
        <f t="shared" ref="L101:L117" si="6">F101*$F$2+G101*$G$2+H101*$H$2+I101*$I$2+J101*$J$2+K101*$K$2</f>
        <v>0</v>
      </c>
      <c r="M101">
        <f t="shared" ref="M101:M117" si="7">E101*3600/(1000*$L$1)</f>
        <v>0.63111517801162498</v>
      </c>
    </row>
    <row r="102" spans="1:13">
      <c r="A102">
        <v>2013</v>
      </c>
      <c r="B102">
        <v>5</v>
      </c>
      <c r="C102">
        <v>24</v>
      </c>
      <c r="D102">
        <v>4</v>
      </c>
      <c r="E102">
        <v>88.41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1">
        <f t="shared" si="6"/>
        <v>0</v>
      </c>
      <c r="M102">
        <f t="shared" si="7"/>
        <v>0.59925779065629603</v>
      </c>
    </row>
    <row r="103" spans="1:13">
      <c r="A103">
        <v>2013</v>
      </c>
      <c r="B103">
        <v>5</v>
      </c>
      <c r="C103">
        <v>24</v>
      </c>
      <c r="D103">
        <v>5</v>
      </c>
      <c r="E103">
        <v>83.29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">
        <f t="shared" si="6"/>
        <v>0</v>
      </c>
      <c r="M103">
        <f t="shared" si="7"/>
        <v>0.56455357294155495</v>
      </c>
    </row>
    <row r="104" spans="1:13">
      <c r="A104">
        <v>2013</v>
      </c>
      <c r="B104">
        <v>5</v>
      </c>
      <c r="C104">
        <v>24</v>
      </c>
      <c r="D104">
        <v>6</v>
      </c>
      <c r="E104">
        <v>78.849999999999994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1">
        <f t="shared" si="6"/>
        <v>0</v>
      </c>
      <c r="M104">
        <f t="shared" si="7"/>
        <v>0.53445850914205295</v>
      </c>
    </row>
    <row r="105" spans="1:13">
      <c r="A105">
        <v>2013</v>
      </c>
      <c r="B105">
        <v>5</v>
      </c>
      <c r="C105">
        <v>24</v>
      </c>
      <c r="D105">
        <v>7</v>
      </c>
      <c r="E105">
        <v>76.2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1">
        <f t="shared" si="6"/>
        <v>0</v>
      </c>
      <c r="M105">
        <f t="shared" si="7"/>
        <v>0.51649636520766595</v>
      </c>
    </row>
    <row r="106" spans="1:13">
      <c r="A106">
        <v>2013</v>
      </c>
      <c r="B106">
        <v>5</v>
      </c>
      <c r="C106">
        <v>24</v>
      </c>
      <c r="D106">
        <v>8</v>
      </c>
      <c r="E106">
        <v>76.2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1">
        <f t="shared" si="6"/>
        <v>0</v>
      </c>
      <c r="M106">
        <f t="shared" si="7"/>
        <v>0.51649636520766595</v>
      </c>
    </row>
    <row r="107" spans="1:13">
      <c r="A107">
        <v>2013</v>
      </c>
      <c r="B107">
        <v>5</v>
      </c>
      <c r="C107">
        <v>24</v>
      </c>
      <c r="D107">
        <v>9</v>
      </c>
      <c r="E107">
        <v>75.849999999999994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1">
        <f t="shared" si="6"/>
        <v>0</v>
      </c>
      <c r="M107">
        <f t="shared" si="7"/>
        <v>0.51412400657482205</v>
      </c>
    </row>
    <row r="108" spans="1:13">
      <c r="A108">
        <v>2013</v>
      </c>
      <c r="B108">
        <v>5</v>
      </c>
      <c r="C108">
        <v>24</v>
      </c>
      <c r="D108">
        <v>10</v>
      </c>
      <c r="E108">
        <v>66.92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1">
        <f t="shared" si="6"/>
        <v>0</v>
      </c>
      <c r="M108">
        <f t="shared" si="7"/>
        <v>0.453594970599698</v>
      </c>
    </row>
    <row r="109" spans="1:13">
      <c r="A109">
        <v>2013</v>
      </c>
      <c r="B109">
        <v>5</v>
      </c>
      <c r="C109">
        <v>24</v>
      </c>
      <c r="D109">
        <v>11</v>
      </c>
      <c r="E109">
        <v>82.26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1">
        <f t="shared" si="6"/>
        <v>0</v>
      </c>
      <c r="M109">
        <f t="shared" si="7"/>
        <v>0.55757206039347296</v>
      </c>
    </row>
    <row r="110" spans="1:13">
      <c r="A110">
        <v>2013</v>
      </c>
      <c r="B110">
        <v>5</v>
      </c>
      <c r="C110">
        <v>24</v>
      </c>
      <c r="D110">
        <v>12</v>
      </c>
      <c r="E110">
        <v>56.81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1">
        <f t="shared" si="6"/>
        <v>0</v>
      </c>
      <c r="M110">
        <f t="shared" si="7"/>
        <v>0.38506769694812998</v>
      </c>
    </row>
    <row r="111" spans="1:13">
      <c r="A111">
        <v>2013</v>
      </c>
      <c r="B111">
        <v>5</v>
      </c>
      <c r="C111">
        <v>24</v>
      </c>
      <c r="D111">
        <v>13</v>
      </c>
      <c r="E111">
        <v>61.62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">
        <f t="shared" si="6"/>
        <v>0</v>
      </c>
      <c r="M111">
        <f t="shared" si="7"/>
        <v>0.417670682730924</v>
      </c>
    </row>
    <row r="112" spans="1:13">
      <c r="A112">
        <v>2013</v>
      </c>
      <c r="B112">
        <v>5</v>
      </c>
      <c r="C112">
        <v>24</v>
      </c>
      <c r="D112">
        <v>14</v>
      </c>
      <c r="E112">
        <v>76.64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>
        <f t="shared" si="6"/>
        <v>0</v>
      </c>
      <c r="M112">
        <f t="shared" si="7"/>
        <v>0.51947875891752704</v>
      </c>
    </row>
    <row r="113" spans="1:13">
      <c r="A113">
        <v>2013</v>
      </c>
      <c r="B113">
        <v>5</v>
      </c>
      <c r="C113">
        <v>24</v>
      </c>
      <c r="D113">
        <v>15</v>
      </c>
      <c r="E113">
        <v>81.2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1">
        <f t="shared" si="6"/>
        <v>0</v>
      </c>
      <c r="M113">
        <f t="shared" si="7"/>
        <v>0.55038720281971798</v>
      </c>
    </row>
    <row r="114" spans="1:13">
      <c r="A114">
        <v>2013</v>
      </c>
      <c r="B114">
        <v>5</v>
      </c>
      <c r="C114">
        <v>24</v>
      </c>
      <c r="D114">
        <v>16</v>
      </c>
      <c r="E114">
        <v>67.66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1">
        <f t="shared" si="6"/>
        <v>0</v>
      </c>
      <c r="M114">
        <f t="shared" si="7"/>
        <v>0.458610814566282</v>
      </c>
    </row>
    <row r="115" spans="1:13">
      <c r="A115">
        <v>2013</v>
      </c>
      <c r="B115">
        <v>5</v>
      </c>
      <c r="C115">
        <v>24</v>
      </c>
      <c r="D115">
        <v>17</v>
      </c>
      <c r="E115">
        <v>76.459999999999994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1">
        <f t="shared" si="6"/>
        <v>0</v>
      </c>
      <c r="M115">
        <f t="shared" si="7"/>
        <v>0.51825868876349301</v>
      </c>
    </row>
    <row r="116" spans="1:13">
      <c r="A116">
        <v>2013</v>
      </c>
      <c r="B116">
        <v>5</v>
      </c>
      <c r="C116">
        <v>24</v>
      </c>
      <c r="D116">
        <v>18</v>
      </c>
      <c r="E116">
        <v>101.13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1">
        <f t="shared" si="6"/>
        <v>0</v>
      </c>
      <c r="M116">
        <f t="shared" si="7"/>
        <v>0.68547608154135498</v>
      </c>
    </row>
    <row r="117" spans="1:13">
      <c r="A117">
        <v>2013</v>
      </c>
      <c r="B117">
        <v>5</v>
      </c>
      <c r="C117">
        <v>24</v>
      </c>
      <c r="D117">
        <v>19</v>
      </c>
      <c r="E117">
        <v>89.01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1">
        <f t="shared" si="6"/>
        <v>0</v>
      </c>
      <c r="M117">
        <f t="shared" si="7"/>
        <v>0.60332469116974197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000"/>
  </sheetPr>
  <dimension ref="A1:M117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2013</v>
      </c>
      <c r="B4">
        <v>8</v>
      </c>
      <c r="C4">
        <v>15</v>
      </c>
      <c r="D4">
        <v>21</v>
      </c>
      <c r="E4">
        <v>50.1</v>
      </c>
      <c r="F4">
        <v>3.5</v>
      </c>
      <c r="G4">
        <v>2.5</v>
      </c>
      <c r="H4">
        <v>1.17</v>
      </c>
      <c r="I4">
        <v>1</v>
      </c>
      <c r="J4">
        <v>0</v>
      </c>
      <c r="K4">
        <v>0</v>
      </c>
      <c r="L4" s="1">
        <f>F4*$F$2+G4*$G$2+H4*$H$2+I4*$I$2+J4*$J$2+K4*$K$2</f>
        <v>1.8638809339561699</v>
      </c>
      <c r="M4">
        <f>E4*3600/(1000*$L$1)</f>
        <v>0.33958619287275699</v>
      </c>
    </row>
    <row r="5" spans="1:13">
      <c r="A5">
        <v>2013</v>
      </c>
      <c r="B5">
        <v>8</v>
      </c>
      <c r="C5">
        <v>15</v>
      </c>
      <c r="D5">
        <v>22</v>
      </c>
      <c r="E5">
        <v>50.1</v>
      </c>
      <c r="F5">
        <v>13</v>
      </c>
      <c r="G5">
        <v>7.5</v>
      </c>
      <c r="H5">
        <v>2.33</v>
      </c>
      <c r="I5">
        <v>0</v>
      </c>
      <c r="J5">
        <v>0</v>
      </c>
      <c r="K5">
        <v>1.5</v>
      </c>
      <c r="L5" s="1">
        <f t="shared" ref="L5:L36" si="0">F5*$F$2+G5*$G$2+H5*$H$2+I5*$I$2+J5*$J$2+K5*$K$2</f>
        <v>5.7897678854188399</v>
      </c>
      <c r="M5">
        <f t="shared" ref="M5:M36" si="1">E5*3600/(1000*$L$1)</f>
        <v>0.33958619287275699</v>
      </c>
    </row>
    <row r="6" spans="1:13">
      <c r="A6">
        <v>2013</v>
      </c>
      <c r="B6">
        <v>8</v>
      </c>
      <c r="C6">
        <v>15</v>
      </c>
      <c r="D6">
        <v>23</v>
      </c>
      <c r="E6">
        <v>75.2</v>
      </c>
      <c r="F6">
        <v>2.1800000000000002</v>
      </c>
      <c r="G6">
        <v>0</v>
      </c>
      <c r="H6">
        <v>4.5</v>
      </c>
      <c r="I6">
        <v>3.5</v>
      </c>
      <c r="J6">
        <v>0</v>
      </c>
      <c r="K6">
        <v>0</v>
      </c>
      <c r="L6" s="1">
        <f t="shared" si="0"/>
        <v>1.6536618108627701</v>
      </c>
      <c r="M6">
        <f t="shared" si="1"/>
        <v>0.50971819768525595</v>
      </c>
    </row>
    <row r="7" spans="1:13">
      <c r="A7">
        <v>2013</v>
      </c>
      <c r="B7">
        <v>8</v>
      </c>
      <c r="C7">
        <v>16</v>
      </c>
      <c r="D7">
        <v>0</v>
      </c>
      <c r="E7">
        <v>72.2</v>
      </c>
      <c r="F7">
        <v>0.82</v>
      </c>
      <c r="G7">
        <v>1</v>
      </c>
      <c r="H7">
        <v>1.67</v>
      </c>
      <c r="I7">
        <v>1.56</v>
      </c>
      <c r="J7">
        <v>0.4</v>
      </c>
      <c r="K7">
        <v>2</v>
      </c>
      <c r="L7" s="1">
        <f t="shared" si="0"/>
        <v>1.24350429378084</v>
      </c>
      <c r="M7">
        <f t="shared" si="1"/>
        <v>0.48938369511802499</v>
      </c>
    </row>
    <row r="8" spans="1:13">
      <c r="A8">
        <v>2013</v>
      </c>
      <c r="B8">
        <v>8</v>
      </c>
      <c r="C8">
        <v>16</v>
      </c>
      <c r="D8">
        <v>1</v>
      </c>
      <c r="E8">
        <v>64.31</v>
      </c>
      <c r="F8">
        <v>3</v>
      </c>
      <c r="G8">
        <v>2</v>
      </c>
      <c r="H8">
        <v>1.33</v>
      </c>
      <c r="I8">
        <v>1.44</v>
      </c>
      <c r="J8">
        <v>0.8</v>
      </c>
      <c r="K8">
        <v>0</v>
      </c>
      <c r="L8" s="1">
        <f t="shared" si="0"/>
        <v>1.72035790607343</v>
      </c>
      <c r="M8">
        <f t="shared" si="1"/>
        <v>0.43590395336620702</v>
      </c>
    </row>
    <row r="9" spans="1:13">
      <c r="A9">
        <v>2013</v>
      </c>
      <c r="B9">
        <v>8</v>
      </c>
      <c r="C9">
        <v>16</v>
      </c>
      <c r="D9">
        <v>2</v>
      </c>
      <c r="E9">
        <v>65.53</v>
      </c>
      <c r="F9">
        <v>15.5</v>
      </c>
      <c r="G9">
        <v>3</v>
      </c>
      <c r="H9">
        <v>4</v>
      </c>
      <c r="I9">
        <v>4</v>
      </c>
      <c r="J9">
        <v>1.2</v>
      </c>
      <c r="K9">
        <v>5</v>
      </c>
      <c r="L9" s="1">
        <f t="shared" si="0"/>
        <v>6.3225428672025199</v>
      </c>
      <c r="M9">
        <f t="shared" si="1"/>
        <v>0.44417331774354801</v>
      </c>
    </row>
    <row r="10" spans="1:13">
      <c r="A10">
        <v>2013</v>
      </c>
      <c r="B10">
        <v>8</v>
      </c>
      <c r="C10">
        <v>16</v>
      </c>
      <c r="D10">
        <v>3</v>
      </c>
      <c r="E10">
        <v>43.98</v>
      </c>
      <c r="F10">
        <v>25</v>
      </c>
      <c r="G10">
        <v>14</v>
      </c>
      <c r="H10">
        <v>3.5</v>
      </c>
      <c r="I10">
        <v>3.5</v>
      </c>
      <c r="J10">
        <v>1.6</v>
      </c>
      <c r="K10">
        <v>5</v>
      </c>
      <c r="L10" s="1">
        <f t="shared" si="0"/>
        <v>11.6793107733324</v>
      </c>
      <c r="M10">
        <f t="shared" si="1"/>
        <v>0.29810380763560601</v>
      </c>
    </row>
    <row r="11" spans="1:13">
      <c r="A11">
        <v>2013</v>
      </c>
      <c r="B11">
        <v>8</v>
      </c>
      <c r="C11">
        <v>16</v>
      </c>
      <c r="D11">
        <v>4</v>
      </c>
      <c r="E11">
        <v>18.239999999999998</v>
      </c>
      <c r="F11">
        <v>36.5</v>
      </c>
      <c r="G11">
        <v>19</v>
      </c>
      <c r="H11">
        <v>7.5</v>
      </c>
      <c r="I11">
        <v>7.5</v>
      </c>
      <c r="J11">
        <v>8</v>
      </c>
      <c r="K11">
        <v>16</v>
      </c>
      <c r="L11" s="1">
        <f t="shared" si="0"/>
        <v>18.760631838182601</v>
      </c>
      <c r="M11">
        <f t="shared" si="1"/>
        <v>0.123633775608764</v>
      </c>
    </row>
    <row r="12" spans="1:13">
      <c r="A12">
        <v>2013</v>
      </c>
      <c r="B12">
        <v>8</v>
      </c>
      <c r="C12">
        <v>16</v>
      </c>
      <c r="D12">
        <v>5</v>
      </c>
      <c r="E12">
        <v>50.11</v>
      </c>
      <c r="F12">
        <v>19.5</v>
      </c>
      <c r="G12">
        <v>24.5</v>
      </c>
      <c r="H12">
        <v>8</v>
      </c>
      <c r="I12">
        <v>8</v>
      </c>
      <c r="J12">
        <v>3</v>
      </c>
      <c r="K12">
        <v>8.5</v>
      </c>
      <c r="L12" s="1">
        <f t="shared" si="0"/>
        <v>15.4203019297066</v>
      </c>
      <c r="M12">
        <f t="shared" si="1"/>
        <v>0.33965397454798102</v>
      </c>
    </row>
    <row r="13" spans="1:13">
      <c r="A13">
        <v>2013</v>
      </c>
      <c r="B13">
        <v>8</v>
      </c>
      <c r="C13">
        <v>16</v>
      </c>
      <c r="D13">
        <v>6</v>
      </c>
      <c r="E13">
        <v>185.55</v>
      </c>
      <c r="F13">
        <v>19</v>
      </c>
      <c r="G13">
        <v>32.5</v>
      </c>
      <c r="H13">
        <v>30.5</v>
      </c>
      <c r="I13">
        <v>30.5</v>
      </c>
      <c r="J13">
        <v>10</v>
      </c>
      <c r="K13">
        <v>20.5</v>
      </c>
      <c r="L13" s="1">
        <f t="shared" si="0"/>
        <v>26.127525573461199</v>
      </c>
      <c r="M13">
        <f t="shared" si="1"/>
        <v>1.2576889837832299</v>
      </c>
    </row>
    <row r="14" spans="1:13">
      <c r="A14">
        <v>2013</v>
      </c>
      <c r="B14">
        <v>8</v>
      </c>
      <c r="C14">
        <v>16</v>
      </c>
      <c r="D14">
        <v>7</v>
      </c>
      <c r="E14">
        <v>517.07000000000005</v>
      </c>
      <c r="F14">
        <v>4.5</v>
      </c>
      <c r="G14">
        <v>6</v>
      </c>
      <c r="H14">
        <v>28</v>
      </c>
      <c r="I14">
        <v>28</v>
      </c>
      <c r="J14">
        <v>22</v>
      </c>
      <c r="K14">
        <v>22</v>
      </c>
      <c r="L14" s="1">
        <f t="shared" si="0"/>
        <v>14.9055010477917</v>
      </c>
      <c r="M14">
        <f t="shared" si="1"/>
        <v>3.5047870808127</v>
      </c>
    </row>
    <row r="15" spans="1:13">
      <c r="A15">
        <v>2013</v>
      </c>
      <c r="B15">
        <v>8</v>
      </c>
      <c r="C15">
        <v>16</v>
      </c>
      <c r="D15">
        <v>8</v>
      </c>
      <c r="E15">
        <v>738</v>
      </c>
      <c r="F15">
        <v>10</v>
      </c>
      <c r="G15">
        <v>9.5</v>
      </c>
      <c r="H15">
        <v>20.5</v>
      </c>
      <c r="I15">
        <v>20.5</v>
      </c>
      <c r="J15">
        <v>34</v>
      </c>
      <c r="K15">
        <v>24</v>
      </c>
      <c r="L15" s="1">
        <f t="shared" si="0"/>
        <v>15.9200919947959</v>
      </c>
      <c r="M15">
        <f t="shared" si="1"/>
        <v>5.0022876315388096</v>
      </c>
    </row>
    <row r="16" spans="1:13">
      <c r="A16">
        <v>2013</v>
      </c>
      <c r="B16">
        <v>8</v>
      </c>
      <c r="C16">
        <v>16</v>
      </c>
      <c r="D16">
        <v>9</v>
      </c>
      <c r="E16">
        <v>830</v>
      </c>
      <c r="F16">
        <v>11.5</v>
      </c>
      <c r="G16">
        <v>12</v>
      </c>
      <c r="H16">
        <v>9</v>
      </c>
      <c r="I16">
        <v>9</v>
      </c>
      <c r="J16">
        <v>13</v>
      </c>
      <c r="K16">
        <v>16</v>
      </c>
      <c r="L16" s="1">
        <f t="shared" si="0"/>
        <v>11.6207709412427</v>
      </c>
      <c r="M16">
        <f t="shared" si="1"/>
        <v>5.6258790436005599</v>
      </c>
    </row>
    <row r="17" spans="1:13">
      <c r="A17">
        <v>2013</v>
      </c>
      <c r="B17">
        <v>8</v>
      </c>
      <c r="C17">
        <v>16</v>
      </c>
      <c r="D17">
        <v>10</v>
      </c>
      <c r="E17">
        <v>835.4</v>
      </c>
      <c r="F17">
        <v>10.5</v>
      </c>
      <c r="G17">
        <v>10</v>
      </c>
      <c r="H17">
        <v>11.5</v>
      </c>
      <c r="I17">
        <v>6.5</v>
      </c>
      <c r="J17">
        <v>10.5</v>
      </c>
      <c r="K17">
        <v>14</v>
      </c>
      <c r="L17" s="1">
        <f t="shared" si="0"/>
        <v>10.456451215080699</v>
      </c>
      <c r="M17">
        <f t="shared" si="1"/>
        <v>5.6624811482215804</v>
      </c>
    </row>
    <row r="18" spans="1:13">
      <c r="A18">
        <v>2013</v>
      </c>
      <c r="B18">
        <v>8</v>
      </c>
      <c r="C18">
        <v>16</v>
      </c>
      <c r="D18">
        <v>11</v>
      </c>
      <c r="E18">
        <v>784.57</v>
      </c>
      <c r="F18">
        <v>4.5</v>
      </c>
      <c r="G18">
        <v>6.5</v>
      </c>
      <c r="H18">
        <v>8</v>
      </c>
      <c r="I18">
        <v>8</v>
      </c>
      <c r="J18">
        <v>4</v>
      </c>
      <c r="K18">
        <v>8.5</v>
      </c>
      <c r="L18" s="1">
        <f t="shared" si="0"/>
        <v>6.6248519629384903</v>
      </c>
      <c r="M18">
        <f t="shared" si="1"/>
        <v>5.31794689305746</v>
      </c>
    </row>
    <row r="19" spans="1:13">
      <c r="A19">
        <v>2013</v>
      </c>
      <c r="B19">
        <v>8</v>
      </c>
      <c r="C19">
        <v>16</v>
      </c>
      <c r="D19">
        <v>12</v>
      </c>
      <c r="E19">
        <v>722.56</v>
      </c>
      <c r="F19">
        <v>5.5</v>
      </c>
      <c r="G19">
        <v>9</v>
      </c>
      <c r="H19">
        <v>14</v>
      </c>
      <c r="I19">
        <v>14</v>
      </c>
      <c r="J19">
        <v>5.5</v>
      </c>
      <c r="K19">
        <v>5.5</v>
      </c>
      <c r="L19" s="1">
        <f t="shared" si="0"/>
        <v>8.9866620725753492</v>
      </c>
      <c r="M19">
        <f t="shared" si="1"/>
        <v>4.8976327249927998</v>
      </c>
    </row>
    <row r="20" spans="1:13">
      <c r="A20">
        <v>2013</v>
      </c>
      <c r="B20">
        <v>8</v>
      </c>
      <c r="C20">
        <v>16</v>
      </c>
      <c r="D20">
        <v>13</v>
      </c>
      <c r="E20">
        <v>670.26</v>
      </c>
      <c r="F20">
        <v>7</v>
      </c>
      <c r="G20">
        <v>13</v>
      </c>
      <c r="H20">
        <v>8.5</v>
      </c>
      <c r="I20">
        <v>8.5</v>
      </c>
      <c r="J20">
        <v>15</v>
      </c>
      <c r="K20">
        <v>12</v>
      </c>
      <c r="L20" s="1">
        <f t="shared" si="0"/>
        <v>10.304274764317499</v>
      </c>
      <c r="M20">
        <f t="shared" si="1"/>
        <v>4.5431345635707396</v>
      </c>
    </row>
    <row r="21" spans="1:13">
      <c r="A21">
        <v>2013</v>
      </c>
      <c r="B21">
        <v>8</v>
      </c>
      <c r="C21">
        <v>16</v>
      </c>
      <c r="D21">
        <v>14</v>
      </c>
      <c r="E21">
        <v>651</v>
      </c>
      <c r="F21">
        <v>11.5</v>
      </c>
      <c r="G21">
        <v>19.5</v>
      </c>
      <c r="H21">
        <v>21.5</v>
      </c>
      <c r="I21">
        <v>21.5</v>
      </c>
      <c r="J21">
        <v>12.5</v>
      </c>
      <c r="K21">
        <v>22</v>
      </c>
      <c r="L21" s="1">
        <f t="shared" si="0"/>
        <v>18.250362914386098</v>
      </c>
      <c r="M21">
        <f t="shared" si="1"/>
        <v>4.4125870570891204</v>
      </c>
    </row>
    <row r="22" spans="1:13">
      <c r="A22">
        <v>2013</v>
      </c>
      <c r="B22">
        <v>8</v>
      </c>
      <c r="C22">
        <v>16</v>
      </c>
      <c r="D22">
        <v>15</v>
      </c>
      <c r="E22">
        <v>679.53</v>
      </c>
      <c r="F22">
        <v>5</v>
      </c>
      <c r="G22">
        <v>6.5</v>
      </c>
      <c r="H22">
        <v>6.5</v>
      </c>
      <c r="I22">
        <v>6.5</v>
      </c>
      <c r="J22">
        <v>5.5</v>
      </c>
      <c r="K22">
        <v>16</v>
      </c>
      <c r="L22" s="1">
        <f t="shared" si="0"/>
        <v>7.4038884087687</v>
      </c>
      <c r="M22">
        <f t="shared" si="1"/>
        <v>4.6059681765034801</v>
      </c>
    </row>
    <row r="23" spans="1:13">
      <c r="A23">
        <v>2013</v>
      </c>
      <c r="B23">
        <v>8</v>
      </c>
      <c r="C23">
        <v>16</v>
      </c>
      <c r="D23">
        <v>16</v>
      </c>
      <c r="E23">
        <v>704.37</v>
      </c>
      <c r="F23">
        <v>2.5</v>
      </c>
      <c r="G23">
        <v>2.5</v>
      </c>
      <c r="H23">
        <v>10.5</v>
      </c>
      <c r="I23">
        <v>10.5</v>
      </c>
      <c r="J23">
        <v>1.5</v>
      </c>
      <c r="K23">
        <v>5</v>
      </c>
      <c r="L23" s="1">
        <f t="shared" si="0"/>
        <v>5.0814811049166204</v>
      </c>
      <c r="M23">
        <f t="shared" si="1"/>
        <v>4.7743378577601501</v>
      </c>
    </row>
    <row r="24" spans="1:13">
      <c r="A24">
        <v>2013</v>
      </c>
      <c r="B24">
        <v>8</v>
      </c>
      <c r="C24">
        <v>16</v>
      </c>
      <c r="D24">
        <v>17</v>
      </c>
      <c r="E24">
        <v>691.79</v>
      </c>
      <c r="F24">
        <v>9.5</v>
      </c>
      <c r="G24">
        <v>4.5</v>
      </c>
      <c r="H24">
        <v>7</v>
      </c>
      <c r="I24">
        <v>7</v>
      </c>
      <c r="J24">
        <v>7.5</v>
      </c>
      <c r="K24">
        <v>11.5</v>
      </c>
      <c r="L24" s="1">
        <f t="shared" si="0"/>
        <v>7.4542275995684601</v>
      </c>
      <c r="M24">
        <f t="shared" si="1"/>
        <v>4.6890685103282301</v>
      </c>
    </row>
    <row r="25" spans="1:13">
      <c r="A25">
        <v>2013</v>
      </c>
      <c r="B25">
        <v>8</v>
      </c>
      <c r="C25">
        <v>16</v>
      </c>
      <c r="D25">
        <v>18</v>
      </c>
      <c r="E25">
        <v>651</v>
      </c>
      <c r="F25">
        <v>0</v>
      </c>
      <c r="G25">
        <v>0</v>
      </c>
      <c r="H25">
        <v>0</v>
      </c>
      <c r="I25">
        <v>0</v>
      </c>
      <c r="J25">
        <v>0.5</v>
      </c>
      <c r="K25">
        <v>1.22</v>
      </c>
      <c r="L25" s="1">
        <f t="shared" si="0"/>
        <v>0.19035444167669299</v>
      </c>
      <c r="M25">
        <f t="shared" si="1"/>
        <v>4.4125870570891204</v>
      </c>
    </row>
    <row r="26" spans="1:13">
      <c r="A26">
        <v>2013</v>
      </c>
      <c r="B26">
        <v>8</v>
      </c>
      <c r="C26">
        <v>16</v>
      </c>
      <c r="D26">
        <v>19</v>
      </c>
      <c r="E26">
        <v>628.42999999999995</v>
      </c>
      <c r="F26">
        <v>0</v>
      </c>
      <c r="G26">
        <v>0</v>
      </c>
      <c r="H26">
        <v>0</v>
      </c>
      <c r="I26">
        <v>0</v>
      </c>
      <c r="J26">
        <v>0</v>
      </c>
      <c r="K26">
        <v>0.28000000000000003</v>
      </c>
      <c r="L26" s="1">
        <f t="shared" si="0"/>
        <v>3.8146999625318097E-2</v>
      </c>
      <c r="M26">
        <f t="shared" si="1"/>
        <v>4.2596038161083198</v>
      </c>
    </row>
    <row r="27" spans="1:13">
      <c r="A27">
        <v>2013</v>
      </c>
      <c r="B27">
        <v>8</v>
      </c>
      <c r="C27">
        <v>16</v>
      </c>
      <c r="D27">
        <v>20</v>
      </c>
      <c r="E27">
        <v>500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f t="shared" si="0"/>
        <v>0</v>
      </c>
      <c r="M27">
        <f t="shared" si="1"/>
        <v>3.3890837612051601</v>
      </c>
    </row>
    <row r="28" spans="1:13">
      <c r="A28">
        <v>2013</v>
      </c>
      <c r="B28">
        <v>8</v>
      </c>
      <c r="C28">
        <v>16</v>
      </c>
      <c r="D28">
        <v>21</v>
      </c>
      <c r="E28">
        <v>441.7</v>
      </c>
      <c r="F28">
        <v>5</v>
      </c>
      <c r="G28">
        <v>3</v>
      </c>
      <c r="H28">
        <v>1.5</v>
      </c>
      <c r="I28">
        <v>1.5</v>
      </c>
      <c r="J28">
        <v>0</v>
      </c>
      <c r="K28">
        <v>0</v>
      </c>
      <c r="L28" s="1">
        <f t="shared" si="0"/>
        <v>2.4733410905694999</v>
      </c>
      <c r="M28">
        <f t="shared" si="1"/>
        <v>2.9939165946486401</v>
      </c>
    </row>
    <row r="29" spans="1:13">
      <c r="A29">
        <v>2013</v>
      </c>
      <c r="B29">
        <v>8</v>
      </c>
      <c r="C29">
        <v>16</v>
      </c>
      <c r="D29">
        <v>22</v>
      </c>
      <c r="E29">
        <v>363</v>
      </c>
      <c r="F29">
        <v>10</v>
      </c>
      <c r="G29">
        <v>6.5</v>
      </c>
      <c r="H29">
        <v>6.5</v>
      </c>
      <c r="I29">
        <v>6.5</v>
      </c>
      <c r="J29">
        <v>4</v>
      </c>
      <c r="K29">
        <v>3.5</v>
      </c>
      <c r="L29" s="1">
        <f t="shared" si="0"/>
        <v>6.7688023542835198</v>
      </c>
      <c r="M29">
        <f t="shared" si="1"/>
        <v>2.4604748106349401</v>
      </c>
    </row>
    <row r="30" spans="1:13">
      <c r="A30">
        <v>2013</v>
      </c>
      <c r="B30">
        <v>8</v>
      </c>
      <c r="C30">
        <v>16</v>
      </c>
      <c r="D30">
        <v>23</v>
      </c>
      <c r="E30">
        <v>275.33</v>
      </c>
      <c r="F30">
        <v>37.5</v>
      </c>
      <c r="G30">
        <v>27</v>
      </c>
      <c r="H30">
        <v>3</v>
      </c>
      <c r="I30">
        <v>3</v>
      </c>
      <c r="J30">
        <v>6</v>
      </c>
      <c r="K30">
        <v>8.5</v>
      </c>
      <c r="L30" s="1">
        <f t="shared" si="0"/>
        <v>18.992782193000799</v>
      </c>
      <c r="M30">
        <f t="shared" si="1"/>
        <v>1.8662328639452299</v>
      </c>
    </row>
    <row r="31" spans="1:13">
      <c r="A31">
        <v>2013</v>
      </c>
      <c r="B31">
        <v>8</v>
      </c>
      <c r="C31">
        <v>17</v>
      </c>
      <c r="D31">
        <v>0</v>
      </c>
      <c r="E31">
        <v>278</v>
      </c>
      <c r="F31">
        <v>24</v>
      </c>
      <c r="G31">
        <v>2</v>
      </c>
      <c r="H31">
        <v>0</v>
      </c>
      <c r="I31">
        <v>0</v>
      </c>
      <c r="J31">
        <v>3.5</v>
      </c>
      <c r="K31">
        <v>3.5</v>
      </c>
      <c r="L31" s="1">
        <f t="shared" si="0"/>
        <v>6.7219576854064096</v>
      </c>
      <c r="M31">
        <f t="shared" si="1"/>
        <v>1.88433057123007</v>
      </c>
    </row>
    <row r="32" spans="1:13">
      <c r="A32">
        <v>2013</v>
      </c>
      <c r="B32">
        <v>8</v>
      </c>
      <c r="C32">
        <v>17</v>
      </c>
      <c r="D32">
        <v>1</v>
      </c>
      <c r="E32">
        <v>281.7</v>
      </c>
      <c r="F32">
        <v>9</v>
      </c>
      <c r="G32">
        <v>3.5</v>
      </c>
      <c r="H32">
        <v>2</v>
      </c>
      <c r="I32">
        <v>2</v>
      </c>
      <c r="J32">
        <v>3</v>
      </c>
      <c r="K32">
        <v>6</v>
      </c>
      <c r="L32" s="1">
        <f t="shared" si="0"/>
        <v>4.6416025094282398</v>
      </c>
      <c r="M32">
        <f t="shared" si="1"/>
        <v>1.9094097910629899</v>
      </c>
    </row>
    <row r="33" spans="1:13">
      <c r="A33">
        <v>2013</v>
      </c>
      <c r="B33">
        <v>8</v>
      </c>
      <c r="C33">
        <v>17</v>
      </c>
      <c r="D33">
        <v>2</v>
      </c>
      <c r="E33">
        <v>244.52</v>
      </c>
      <c r="F33">
        <v>42.5</v>
      </c>
      <c r="G33">
        <v>13</v>
      </c>
      <c r="H33">
        <v>5</v>
      </c>
      <c r="I33">
        <v>12</v>
      </c>
      <c r="J33">
        <v>3.5</v>
      </c>
      <c r="K33">
        <v>6.5</v>
      </c>
      <c r="L33" s="1">
        <f t="shared" si="0"/>
        <v>17.012791908374201</v>
      </c>
      <c r="M33">
        <f t="shared" si="1"/>
        <v>1.6573975225797699</v>
      </c>
    </row>
    <row r="34" spans="1:13">
      <c r="A34">
        <v>2013</v>
      </c>
      <c r="B34">
        <v>8</v>
      </c>
      <c r="C34">
        <v>17</v>
      </c>
      <c r="D34">
        <v>3</v>
      </c>
      <c r="E34">
        <v>301</v>
      </c>
      <c r="F34">
        <v>2.25</v>
      </c>
      <c r="G34">
        <v>0</v>
      </c>
      <c r="H34">
        <v>3</v>
      </c>
      <c r="I34">
        <v>0</v>
      </c>
      <c r="J34">
        <v>5</v>
      </c>
      <c r="K34">
        <v>5.5</v>
      </c>
      <c r="L34" s="1">
        <f t="shared" si="0"/>
        <v>1.96878842138361</v>
      </c>
      <c r="M34">
        <f t="shared" si="1"/>
        <v>2.0402284242455102</v>
      </c>
    </row>
    <row r="35" spans="1:13">
      <c r="A35">
        <v>2013</v>
      </c>
      <c r="B35">
        <v>8</v>
      </c>
      <c r="C35">
        <v>17</v>
      </c>
      <c r="D35">
        <v>4</v>
      </c>
      <c r="E35">
        <v>579</v>
      </c>
      <c r="F35">
        <v>0.25</v>
      </c>
      <c r="G35">
        <v>3</v>
      </c>
      <c r="H35">
        <v>22</v>
      </c>
      <c r="I35">
        <v>11.5</v>
      </c>
      <c r="J35">
        <v>15</v>
      </c>
      <c r="K35">
        <v>3.5</v>
      </c>
      <c r="L35" s="1">
        <f t="shared" si="0"/>
        <v>7.0797394924282298</v>
      </c>
      <c r="M35">
        <f t="shared" si="1"/>
        <v>3.9245589954755702</v>
      </c>
    </row>
    <row r="36" spans="1:13">
      <c r="A36">
        <v>2013</v>
      </c>
      <c r="B36">
        <v>8</v>
      </c>
      <c r="C36">
        <v>17</v>
      </c>
      <c r="D36">
        <v>5</v>
      </c>
      <c r="E36">
        <v>710</v>
      </c>
      <c r="F36">
        <v>4.5</v>
      </c>
      <c r="G36">
        <v>9.5</v>
      </c>
      <c r="H36">
        <v>13.5</v>
      </c>
      <c r="I36">
        <v>8.5</v>
      </c>
      <c r="J36">
        <v>23.5</v>
      </c>
      <c r="K36">
        <v>30</v>
      </c>
      <c r="L36" s="1">
        <f t="shared" si="0"/>
        <v>12.3172464824135</v>
      </c>
      <c r="M36">
        <f t="shared" si="1"/>
        <v>4.8124989409113201</v>
      </c>
    </row>
    <row r="37" spans="1:13">
      <c r="A37">
        <v>2013</v>
      </c>
      <c r="B37">
        <v>8</v>
      </c>
      <c r="C37">
        <v>17</v>
      </c>
      <c r="D37">
        <v>6</v>
      </c>
      <c r="E37">
        <v>791.33</v>
      </c>
      <c r="F37">
        <v>16.5</v>
      </c>
      <c r="G37">
        <v>30.5</v>
      </c>
      <c r="H37">
        <v>27</v>
      </c>
      <c r="I37">
        <v>17.5</v>
      </c>
      <c r="J37">
        <v>20</v>
      </c>
      <c r="K37">
        <v>21.5</v>
      </c>
      <c r="L37" s="1">
        <f t="shared" ref="L37:L68" si="2">F37*$F$2+G37*$G$2+H37*$H$2+I37*$I$2+J37*$J$2+K37*$K$2</f>
        <v>23.326200253428201</v>
      </c>
      <c r="M37">
        <f t="shared" ref="M37:M68" si="3">E37*3600/(1000*$L$1)</f>
        <v>5.3637673055089596</v>
      </c>
    </row>
    <row r="38" spans="1:13">
      <c r="A38">
        <v>2013</v>
      </c>
      <c r="B38">
        <v>8</v>
      </c>
      <c r="C38">
        <v>17</v>
      </c>
      <c r="D38">
        <v>7</v>
      </c>
      <c r="E38">
        <v>864.52</v>
      </c>
      <c r="F38">
        <v>34.5</v>
      </c>
      <c r="G38">
        <v>19</v>
      </c>
      <c r="H38">
        <v>17.5</v>
      </c>
      <c r="I38">
        <v>18</v>
      </c>
      <c r="J38">
        <v>21</v>
      </c>
      <c r="K38">
        <v>19.5</v>
      </c>
      <c r="L38" s="1">
        <f t="shared" si="2"/>
        <v>22.336091670950101</v>
      </c>
      <c r="M38">
        <f t="shared" si="3"/>
        <v>5.8598613864741704</v>
      </c>
    </row>
    <row r="39" spans="1:13">
      <c r="A39">
        <v>2013</v>
      </c>
      <c r="B39">
        <v>8</v>
      </c>
      <c r="C39">
        <v>17</v>
      </c>
      <c r="D39">
        <v>8</v>
      </c>
      <c r="E39">
        <v>893</v>
      </c>
      <c r="F39">
        <v>10</v>
      </c>
      <c r="G39">
        <v>15.5</v>
      </c>
      <c r="H39">
        <v>9</v>
      </c>
      <c r="I39">
        <v>12</v>
      </c>
      <c r="J39">
        <v>8.5</v>
      </c>
      <c r="K39">
        <v>11.5</v>
      </c>
      <c r="L39" s="1">
        <f t="shared" si="2"/>
        <v>11.896273325839701</v>
      </c>
      <c r="M39">
        <f t="shared" si="3"/>
        <v>6.0529035975124099</v>
      </c>
    </row>
    <row r="40" spans="1:13">
      <c r="A40">
        <v>2013</v>
      </c>
      <c r="B40">
        <v>8</v>
      </c>
      <c r="C40">
        <v>17</v>
      </c>
      <c r="D40">
        <v>9</v>
      </c>
      <c r="E40">
        <v>914.14</v>
      </c>
      <c r="F40">
        <v>2.0499999999999998</v>
      </c>
      <c r="G40">
        <v>2</v>
      </c>
      <c r="H40">
        <v>2</v>
      </c>
      <c r="I40">
        <v>2.5</v>
      </c>
      <c r="J40">
        <v>3</v>
      </c>
      <c r="K40">
        <v>1.67</v>
      </c>
      <c r="L40" s="1">
        <f t="shared" si="2"/>
        <v>2.0803194588009801</v>
      </c>
      <c r="M40">
        <f t="shared" si="3"/>
        <v>6.1961940589361699</v>
      </c>
    </row>
    <row r="41" spans="1:13">
      <c r="A41">
        <v>2013</v>
      </c>
      <c r="B41">
        <v>8</v>
      </c>
      <c r="C41">
        <v>17</v>
      </c>
      <c r="D41">
        <v>10</v>
      </c>
      <c r="E41">
        <v>934.55</v>
      </c>
      <c r="F41">
        <v>0.95</v>
      </c>
      <c r="G41">
        <v>0</v>
      </c>
      <c r="H41">
        <v>0</v>
      </c>
      <c r="I41">
        <v>0</v>
      </c>
      <c r="J41">
        <v>0</v>
      </c>
      <c r="K41">
        <v>1.17</v>
      </c>
      <c r="L41" s="1">
        <f t="shared" si="2"/>
        <v>0.376063146161769</v>
      </c>
      <c r="M41">
        <f t="shared" si="3"/>
        <v>6.3345364580685599</v>
      </c>
    </row>
    <row r="42" spans="1:13">
      <c r="A42">
        <v>2013</v>
      </c>
      <c r="B42">
        <v>8</v>
      </c>
      <c r="C42">
        <v>17</v>
      </c>
      <c r="D42">
        <v>11</v>
      </c>
      <c r="E42">
        <v>941.53</v>
      </c>
      <c r="F42">
        <v>3</v>
      </c>
      <c r="G42">
        <v>3</v>
      </c>
      <c r="H42">
        <v>0.2</v>
      </c>
      <c r="I42">
        <v>0.57999999999999996</v>
      </c>
      <c r="J42">
        <v>0.3</v>
      </c>
      <c r="K42">
        <v>0.66</v>
      </c>
      <c r="L42" s="1">
        <f t="shared" si="2"/>
        <v>1.79947017323867</v>
      </c>
      <c r="M42">
        <f t="shared" si="3"/>
        <v>6.3818480673749898</v>
      </c>
    </row>
    <row r="43" spans="1:13">
      <c r="A43">
        <v>2013</v>
      </c>
      <c r="B43">
        <v>8</v>
      </c>
      <c r="C43">
        <v>17</v>
      </c>
      <c r="D43">
        <v>12</v>
      </c>
      <c r="E43">
        <v>921</v>
      </c>
      <c r="F43">
        <v>1.5</v>
      </c>
      <c r="G43">
        <v>0.76</v>
      </c>
      <c r="H43">
        <v>0.4</v>
      </c>
      <c r="I43">
        <v>1.17</v>
      </c>
      <c r="J43">
        <v>0.6</v>
      </c>
      <c r="K43">
        <v>5.5</v>
      </c>
      <c r="L43" s="1">
        <f t="shared" si="2"/>
        <v>1.5648139675438799</v>
      </c>
      <c r="M43">
        <f t="shared" si="3"/>
        <v>6.2426922881399003</v>
      </c>
    </row>
    <row r="44" spans="1:13">
      <c r="A44">
        <v>2013</v>
      </c>
      <c r="B44">
        <v>8</v>
      </c>
      <c r="C44">
        <v>17</v>
      </c>
      <c r="D44">
        <v>13</v>
      </c>
      <c r="E44">
        <v>852</v>
      </c>
      <c r="F44">
        <v>0</v>
      </c>
      <c r="G44">
        <v>0.67</v>
      </c>
      <c r="H44">
        <v>0.6</v>
      </c>
      <c r="I44">
        <v>1.75</v>
      </c>
      <c r="J44">
        <v>0.9</v>
      </c>
      <c r="K44">
        <v>1.76</v>
      </c>
      <c r="L44" s="1">
        <f t="shared" si="2"/>
        <v>0.80762875223350195</v>
      </c>
      <c r="M44">
        <f t="shared" si="3"/>
        <v>5.77499872909359</v>
      </c>
    </row>
    <row r="45" spans="1:13">
      <c r="A45">
        <v>2013</v>
      </c>
      <c r="B45">
        <v>8</v>
      </c>
      <c r="C45">
        <v>17</v>
      </c>
      <c r="D45">
        <v>14</v>
      </c>
      <c r="E45">
        <v>726.72</v>
      </c>
      <c r="F45">
        <v>0</v>
      </c>
      <c r="G45">
        <v>0.56999999999999995</v>
      </c>
      <c r="H45">
        <v>0.8</v>
      </c>
      <c r="I45">
        <v>0</v>
      </c>
      <c r="J45">
        <v>1.2</v>
      </c>
      <c r="K45">
        <v>1.24</v>
      </c>
      <c r="L45" s="1">
        <f t="shared" si="2"/>
        <v>0.52257144847557202</v>
      </c>
      <c r="M45">
        <f t="shared" si="3"/>
        <v>4.9258299018860203</v>
      </c>
    </row>
    <row r="46" spans="1:13">
      <c r="A46">
        <v>2013</v>
      </c>
      <c r="B46">
        <v>8</v>
      </c>
      <c r="C46">
        <v>17</v>
      </c>
      <c r="D46">
        <v>15</v>
      </c>
      <c r="E46">
        <v>593.72</v>
      </c>
      <c r="F46">
        <v>8.5</v>
      </c>
      <c r="G46">
        <v>10.5</v>
      </c>
      <c r="H46">
        <v>4</v>
      </c>
      <c r="I46">
        <v>9</v>
      </c>
      <c r="J46">
        <v>7</v>
      </c>
      <c r="K46">
        <v>6</v>
      </c>
      <c r="L46" s="1">
        <f t="shared" si="2"/>
        <v>8.0577443388180008</v>
      </c>
      <c r="M46">
        <f t="shared" si="3"/>
        <v>4.0243336214054501</v>
      </c>
    </row>
    <row r="47" spans="1:13">
      <c r="A47">
        <v>2013</v>
      </c>
      <c r="B47">
        <v>8</v>
      </c>
      <c r="C47">
        <v>17</v>
      </c>
      <c r="D47">
        <v>16</v>
      </c>
      <c r="E47">
        <v>507</v>
      </c>
      <c r="F47">
        <v>7</v>
      </c>
      <c r="G47">
        <v>9</v>
      </c>
      <c r="H47">
        <v>9.5</v>
      </c>
      <c r="I47">
        <v>4.5</v>
      </c>
      <c r="J47">
        <v>5</v>
      </c>
      <c r="K47">
        <v>8</v>
      </c>
      <c r="L47" s="1">
        <f t="shared" si="2"/>
        <v>7.7016598979132702</v>
      </c>
      <c r="M47">
        <f t="shared" si="3"/>
        <v>3.4365309338620298</v>
      </c>
    </row>
    <row r="48" spans="1:13">
      <c r="A48">
        <v>2013</v>
      </c>
      <c r="B48">
        <v>8</v>
      </c>
      <c r="C48">
        <v>17</v>
      </c>
      <c r="D48">
        <v>17</v>
      </c>
      <c r="E48">
        <v>478</v>
      </c>
      <c r="F48">
        <v>1.32</v>
      </c>
      <c r="G48">
        <v>0.5</v>
      </c>
      <c r="H48">
        <v>1</v>
      </c>
      <c r="I48">
        <v>0.7</v>
      </c>
      <c r="J48">
        <v>1.5</v>
      </c>
      <c r="K48">
        <v>5</v>
      </c>
      <c r="L48" s="1">
        <f t="shared" si="2"/>
        <v>1.4520953010353701</v>
      </c>
      <c r="M48">
        <f t="shared" si="3"/>
        <v>3.23996407571213</v>
      </c>
    </row>
    <row r="49" spans="1:13">
      <c r="A49">
        <v>2013</v>
      </c>
      <c r="B49">
        <v>8</v>
      </c>
      <c r="C49">
        <v>17</v>
      </c>
      <c r="D49">
        <v>18</v>
      </c>
      <c r="E49">
        <v>451</v>
      </c>
      <c r="F49">
        <v>1.19</v>
      </c>
      <c r="G49">
        <v>0</v>
      </c>
      <c r="H49">
        <v>0</v>
      </c>
      <c r="I49">
        <v>0.5</v>
      </c>
      <c r="J49">
        <v>1</v>
      </c>
      <c r="K49">
        <v>0.75</v>
      </c>
      <c r="L49" s="1">
        <f t="shared" si="2"/>
        <v>0.48745370605723398</v>
      </c>
      <c r="M49">
        <f t="shared" si="3"/>
        <v>3.0569535526070499</v>
      </c>
    </row>
    <row r="50" spans="1:13">
      <c r="A50">
        <v>2013</v>
      </c>
      <c r="B50">
        <v>8</v>
      </c>
      <c r="C50">
        <v>17</v>
      </c>
      <c r="D50">
        <v>19</v>
      </c>
      <c r="E50">
        <v>435</v>
      </c>
      <c r="F50">
        <v>1.06</v>
      </c>
      <c r="G50">
        <v>1</v>
      </c>
      <c r="H50">
        <v>0</v>
      </c>
      <c r="I50">
        <v>0.3</v>
      </c>
      <c r="J50">
        <v>0</v>
      </c>
      <c r="K50">
        <v>0.25</v>
      </c>
      <c r="L50" s="1">
        <f t="shared" si="2"/>
        <v>0.61642754797907096</v>
      </c>
      <c r="M50">
        <f t="shared" si="3"/>
        <v>2.9485028722484898</v>
      </c>
    </row>
    <row r="51" spans="1:13">
      <c r="A51">
        <v>2013</v>
      </c>
      <c r="B51">
        <v>8</v>
      </c>
      <c r="C51">
        <v>17</v>
      </c>
      <c r="D51">
        <v>20</v>
      </c>
      <c r="E51">
        <v>409.96</v>
      </c>
      <c r="F51">
        <v>0.93</v>
      </c>
      <c r="G51">
        <v>0</v>
      </c>
      <c r="H51">
        <v>0</v>
      </c>
      <c r="I51">
        <v>0</v>
      </c>
      <c r="J51">
        <v>0</v>
      </c>
      <c r="K51">
        <v>0</v>
      </c>
      <c r="L51" s="1">
        <f t="shared" si="2"/>
        <v>0.21210185326396999</v>
      </c>
      <c r="M51">
        <f t="shared" si="3"/>
        <v>2.7787775574873299</v>
      </c>
    </row>
    <row r="52" spans="1:13">
      <c r="A52">
        <v>2013</v>
      </c>
      <c r="B52">
        <v>8</v>
      </c>
      <c r="C52">
        <v>17</v>
      </c>
      <c r="D52">
        <v>21</v>
      </c>
      <c r="E52">
        <v>376.27</v>
      </c>
      <c r="F52">
        <v>1</v>
      </c>
      <c r="G52">
        <v>6</v>
      </c>
      <c r="H52">
        <v>4</v>
      </c>
      <c r="I52">
        <v>0.5</v>
      </c>
      <c r="J52">
        <v>0</v>
      </c>
      <c r="K52">
        <v>0</v>
      </c>
      <c r="L52" s="1">
        <f t="shared" si="2"/>
        <v>2.7210991175202501</v>
      </c>
      <c r="M52">
        <f t="shared" si="3"/>
        <v>2.5504210936573299</v>
      </c>
    </row>
    <row r="53" spans="1:13">
      <c r="A53">
        <v>2013</v>
      </c>
      <c r="B53">
        <v>8</v>
      </c>
      <c r="C53">
        <v>17</v>
      </c>
      <c r="D53">
        <v>22</v>
      </c>
      <c r="E53">
        <v>347</v>
      </c>
      <c r="F53">
        <v>3</v>
      </c>
      <c r="G53">
        <v>12</v>
      </c>
      <c r="H53">
        <v>0</v>
      </c>
      <c r="I53">
        <v>9</v>
      </c>
      <c r="J53">
        <v>0.5</v>
      </c>
      <c r="K53">
        <v>1.17</v>
      </c>
      <c r="L53" s="1">
        <f t="shared" si="2"/>
        <v>5.6635214651385697</v>
      </c>
      <c r="M53">
        <f t="shared" si="3"/>
        <v>2.35202413027638</v>
      </c>
    </row>
    <row r="54" spans="1:13">
      <c r="A54">
        <v>2013</v>
      </c>
      <c r="B54">
        <v>8</v>
      </c>
      <c r="C54">
        <v>17</v>
      </c>
      <c r="D54">
        <v>23</v>
      </c>
      <c r="E54">
        <v>303</v>
      </c>
      <c r="F54">
        <v>4.5</v>
      </c>
      <c r="G54">
        <v>0.5</v>
      </c>
      <c r="H54">
        <v>0</v>
      </c>
      <c r="I54">
        <v>1.47</v>
      </c>
      <c r="J54">
        <v>0</v>
      </c>
      <c r="K54">
        <v>2.33</v>
      </c>
      <c r="L54" s="1">
        <f t="shared" si="2"/>
        <v>1.6872032151107901</v>
      </c>
      <c r="M54">
        <f t="shared" si="3"/>
        <v>2.05378475929033</v>
      </c>
    </row>
    <row r="55" spans="1:13">
      <c r="A55">
        <v>2013</v>
      </c>
      <c r="B55">
        <v>8</v>
      </c>
      <c r="C55">
        <v>18</v>
      </c>
      <c r="D55">
        <v>0</v>
      </c>
      <c r="E55">
        <v>315</v>
      </c>
      <c r="F55">
        <v>1.5</v>
      </c>
      <c r="G55">
        <v>4.5</v>
      </c>
      <c r="H55">
        <v>0</v>
      </c>
      <c r="I55">
        <v>0.53</v>
      </c>
      <c r="J55">
        <v>0</v>
      </c>
      <c r="K55">
        <v>0</v>
      </c>
      <c r="L55" s="1">
        <f t="shared" si="2"/>
        <v>1.7673095758561701</v>
      </c>
      <c r="M55">
        <f t="shared" si="3"/>
        <v>2.1351227695592501</v>
      </c>
    </row>
    <row r="56" spans="1:13">
      <c r="A56">
        <v>2013</v>
      </c>
      <c r="B56">
        <v>8</v>
      </c>
      <c r="C56">
        <v>18</v>
      </c>
      <c r="D56">
        <v>1</v>
      </c>
      <c r="E56">
        <v>315.42</v>
      </c>
      <c r="F56">
        <v>5</v>
      </c>
      <c r="G56">
        <v>5</v>
      </c>
      <c r="H56">
        <v>0</v>
      </c>
      <c r="I56">
        <v>4.5</v>
      </c>
      <c r="J56">
        <v>2</v>
      </c>
      <c r="K56">
        <v>2</v>
      </c>
      <c r="L56" s="1">
        <f t="shared" si="2"/>
        <v>3.6060077158140298</v>
      </c>
      <c r="M56">
        <f t="shared" si="3"/>
        <v>2.1379695999186601</v>
      </c>
    </row>
    <row r="57" spans="1:13">
      <c r="A57">
        <v>2013</v>
      </c>
      <c r="B57">
        <v>8</v>
      </c>
      <c r="C57">
        <v>18</v>
      </c>
      <c r="D57">
        <v>2</v>
      </c>
      <c r="E57">
        <v>321.99</v>
      </c>
      <c r="F57">
        <v>4</v>
      </c>
      <c r="G57">
        <v>3</v>
      </c>
      <c r="H57">
        <v>0</v>
      </c>
      <c r="I57">
        <v>3</v>
      </c>
      <c r="J57">
        <v>13</v>
      </c>
      <c r="K57">
        <v>6</v>
      </c>
      <c r="L57" s="1">
        <f t="shared" si="2"/>
        <v>3.6547370918272302</v>
      </c>
      <c r="M57">
        <f t="shared" si="3"/>
        <v>2.1825021605409001</v>
      </c>
    </row>
    <row r="58" spans="1:13">
      <c r="A58">
        <v>2013</v>
      </c>
      <c r="B58">
        <v>8</v>
      </c>
      <c r="C58">
        <v>18</v>
      </c>
      <c r="D58">
        <v>3</v>
      </c>
      <c r="E58">
        <v>334.57</v>
      </c>
      <c r="F58">
        <v>2.5</v>
      </c>
      <c r="G58">
        <v>0</v>
      </c>
      <c r="H58">
        <v>0</v>
      </c>
      <c r="I58">
        <v>0.5</v>
      </c>
      <c r="J58">
        <v>3.5</v>
      </c>
      <c r="K58">
        <v>7.5</v>
      </c>
      <c r="L58" s="1">
        <f t="shared" si="2"/>
        <v>1.82654857592583</v>
      </c>
      <c r="M58">
        <f t="shared" si="3"/>
        <v>2.26777150797282</v>
      </c>
    </row>
    <row r="59" spans="1:13">
      <c r="A59">
        <v>2013</v>
      </c>
      <c r="B59">
        <v>8</v>
      </c>
      <c r="C59">
        <v>18</v>
      </c>
      <c r="D59">
        <v>4</v>
      </c>
      <c r="E59">
        <v>330.33</v>
      </c>
      <c r="F59">
        <v>4.5</v>
      </c>
      <c r="G59">
        <v>0.5</v>
      </c>
      <c r="H59">
        <v>0</v>
      </c>
      <c r="I59">
        <v>0</v>
      </c>
      <c r="J59">
        <v>0.94</v>
      </c>
      <c r="K59">
        <v>0</v>
      </c>
      <c r="L59" s="1">
        <f t="shared" si="2"/>
        <v>1.2223188111094201</v>
      </c>
      <c r="M59">
        <f t="shared" si="3"/>
        <v>2.2390320776778001</v>
      </c>
    </row>
    <row r="60" spans="1:13">
      <c r="A60">
        <v>2013</v>
      </c>
      <c r="B60">
        <v>8</v>
      </c>
      <c r="C60">
        <v>18</v>
      </c>
      <c r="D60">
        <v>5</v>
      </c>
      <c r="E60">
        <v>317.23</v>
      </c>
      <c r="F60">
        <v>11</v>
      </c>
      <c r="G60">
        <v>1</v>
      </c>
      <c r="H60">
        <v>0</v>
      </c>
      <c r="I60">
        <v>0</v>
      </c>
      <c r="J60">
        <v>0.56000000000000005</v>
      </c>
      <c r="K60">
        <v>1</v>
      </c>
      <c r="L60" s="1">
        <f t="shared" si="2"/>
        <v>2.9732736854591302</v>
      </c>
      <c r="M60">
        <f t="shared" si="3"/>
        <v>2.1502380831342198</v>
      </c>
    </row>
    <row r="61" spans="1:13">
      <c r="A61">
        <v>2013</v>
      </c>
      <c r="B61">
        <v>8</v>
      </c>
      <c r="C61">
        <v>18</v>
      </c>
      <c r="D61">
        <v>6</v>
      </c>
      <c r="E61">
        <v>305.02999999999997</v>
      </c>
      <c r="F61">
        <v>9</v>
      </c>
      <c r="G61">
        <v>1.5</v>
      </c>
      <c r="H61">
        <v>0</v>
      </c>
      <c r="I61">
        <v>0.5</v>
      </c>
      <c r="J61">
        <v>0</v>
      </c>
      <c r="K61">
        <v>0</v>
      </c>
      <c r="L61" s="1">
        <f t="shared" si="2"/>
        <v>2.5700834279452498</v>
      </c>
      <c r="M61">
        <f t="shared" si="3"/>
        <v>2.06754443936082</v>
      </c>
    </row>
    <row r="62" spans="1:13">
      <c r="A62">
        <v>2013</v>
      </c>
      <c r="B62">
        <v>8</v>
      </c>
      <c r="C62">
        <v>18</v>
      </c>
      <c r="D62">
        <v>7</v>
      </c>
      <c r="E62">
        <v>302.20999999999998</v>
      </c>
      <c r="F62">
        <v>4.5</v>
      </c>
      <c r="G62">
        <v>5</v>
      </c>
      <c r="H62">
        <v>0</v>
      </c>
      <c r="I62">
        <v>1</v>
      </c>
      <c r="J62">
        <v>2</v>
      </c>
      <c r="K62">
        <v>1</v>
      </c>
      <c r="L62" s="1">
        <f t="shared" si="2"/>
        <v>2.89660470291857</v>
      </c>
      <c r="M62">
        <f t="shared" si="3"/>
        <v>2.04843000694762</v>
      </c>
    </row>
    <row r="63" spans="1:13">
      <c r="A63">
        <v>2013</v>
      </c>
      <c r="B63">
        <v>8</v>
      </c>
      <c r="C63">
        <v>18</v>
      </c>
      <c r="D63">
        <v>8</v>
      </c>
      <c r="E63">
        <v>309</v>
      </c>
      <c r="F63">
        <v>14.5</v>
      </c>
      <c r="G63">
        <v>5.5</v>
      </c>
      <c r="H63">
        <v>0.5</v>
      </c>
      <c r="I63">
        <v>5</v>
      </c>
      <c r="J63">
        <v>9</v>
      </c>
      <c r="K63">
        <v>3.5</v>
      </c>
      <c r="L63" s="1">
        <f t="shared" si="2"/>
        <v>6.6086982717555598</v>
      </c>
      <c r="M63">
        <f t="shared" si="3"/>
        <v>2.0944537644247898</v>
      </c>
    </row>
    <row r="64" spans="1:13">
      <c r="A64">
        <v>2013</v>
      </c>
      <c r="B64">
        <v>8</v>
      </c>
      <c r="C64">
        <v>18</v>
      </c>
      <c r="D64">
        <v>9</v>
      </c>
      <c r="E64">
        <v>330.12</v>
      </c>
      <c r="F64">
        <v>1.5</v>
      </c>
      <c r="G64">
        <v>1.3</v>
      </c>
      <c r="H64">
        <v>1</v>
      </c>
      <c r="I64">
        <v>1.5</v>
      </c>
      <c r="J64">
        <v>2</v>
      </c>
      <c r="K64">
        <v>7</v>
      </c>
      <c r="L64" s="1">
        <f t="shared" si="2"/>
        <v>2.1357230139498502</v>
      </c>
      <c r="M64">
        <f t="shared" si="3"/>
        <v>2.23760866249809</v>
      </c>
    </row>
    <row r="65" spans="1:13">
      <c r="A65">
        <v>2013</v>
      </c>
      <c r="B65">
        <v>8</v>
      </c>
      <c r="C65">
        <v>18</v>
      </c>
      <c r="D65">
        <v>10</v>
      </c>
      <c r="E65">
        <v>325.70999999999998</v>
      </c>
      <c r="F65">
        <v>0</v>
      </c>
      <c r="G65">
        <v>0.7</v>
      </c>
      <c r="H65">
        <v>0</v>
      </c>
      <c r="I65">
        <v>1</v>
      </c>
      <c r="J65">
        <v>0</v>
      </c>
      <c r="K65">
        <v>0</v>
      </c>
      <c r="L65" s="1">
        <f t="shared" si="2"/>
        <v>0.34206436623192299</v>
      </c>
      <c r="M65">
        <f t="shared" si="3"/>
        <v>2.2077169437242601</v>
      </c>
    </row>
    <row r="66" spans="1:13">
      <c r="A66">
        <v>2013</v>
      </c>
      <c r="B66">
        <v>8</v>
      </c>
      <c r="C66">
        <v>18</v>
      </c>
      <c r="D66">
        <v>11</v>
      </c>
      <c r="E66">
        <v>324.41000000000003</v>
      </c>
      <c r="F66">
        <v>4</v>
      </c>
      <c r="G66">
        <v>0</v>
      </c>
      <c r="H66">
        <v>0</v>
      </c>
      <c r="I66">
        <v>0</v>
      </c>
      <c r="J66">
        <v>0</v>
      </c>
      <c r="K66">
        <v>0</v>
      </c>
      <c r="L66" s="1">
        <f t="shared" si="2"/>
        <v>0.91226603554395602</v>
      </c>
      <c r="M66">
        <f t="shared" si="3"/>
        <v>2.1989053259451299</v>
      </c>
    </row>
    <row r="67" spans="1:13">
      <c r="A67">
        <v>2013</v>
      </c>
      <c r="B67">
        <v>8</v>
      </c>
      <c r="C67">
        <v>18</v>
      </c>
      <c r="D67">
        <v>12</v>
      </c>
      <c r="E67">
        <v>327.86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1">
        <f t="shared" si="2"/>
        <v>0</v>
      </c>
      <c r="M67">
        <f t="shared" si="3"/>
        <v>2.22229000389745</v>
      </c>
    </row>
    <row r="68" spans="1:13">
      <c r="A68">
        <v>2013</v>
      </c>
      <c r="B68">
        <v>8</v>
      </c>
      <c r="C68">
        <v>18</v>
      </c>
      <c r="D68">
        <v>13</v>
      </c>
      <c r="E68">
        <v>315</v>
      </c>
      <c r="F68">
        <v>0</v>
      </c>
      <c r="G68">
        <v>0</v>
      </c>
      <c r="H68">
        <v>0</v>
      </c>
      <c r="I68">
        <v>0.5</v>
      </c>
      <c r="J68">
        <v>0</v>
      </c>
      <c r="K68">
        <v>0</v>
      </c>
      <c r="L68" s="1">
        <f t="shared" si="2"/>
        <v>6.5590067725190507E-2</v>
      </c>
      <c r="M68">
        <f t="shared" si="3"/>
        <v>2.1351227695592501</v>
      </c>
    </row>
    <row r="69" spans="1:13">
      <c r="A69">
        <v>2013</v>
      </c>
      <c r="B69">
        <v>8</v>
      </c>
      <c r="C69">
        <v>18</v>
      </c>
      <c r="D69">
        <v>14</v>
      </c>
      <c r="E69">
        <v>279.5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f t="shared" ref="L69:L100" si="4">F69*$F$2+G69*$G$2+H69*$H$2+I69*$I$2+J69*$J$2+K69*$K$2</f>
        <v>0</v>
      </c>
      <c r="M69">
        <f t="shared" ref="M69:M100" si="5">E69*3600/(1000*$L$1)</f>
        <v>1.8944978225136799</v>
      </c>
    </row>
    <row r="70" spans="1:13">
      <c r="A70">
        <v>2013</v>
      </c>
      <c r="B70">
        <v>8</v>
      </c>
      <c r="C70">
        <v>18</v>
      </c>
      <c r="D70">
        <v>15</v>
      </c>
      <c r="E70">
        <v>244.71</v>
      </c>
      <c r="F70">
        <v>0</v>
      </c>
      <c r="G70">
        <v>0</v>
      </c>
      <c r="H70">
        <v>0</v>
      </c>
      <c r="I70">
        <v>0.5</v>
      </c>
      <c r="J70">
        <v>0</v>
      </c>
      <c r="K70">
        <v>0</v>
      </c>
      <c r="L70" s="1">
        <f t="shared" si="4"/>
        <v>6.5590067725190507E-2</v>
      </c>
      <c r="M70">
        <f t="shared" si="5"/>
        <v>1.65868537440903</v>
      </c>
    </row>
    <row r="71" spans="1:13">
      <c r="A71">
        <v>2013</v>
      </c>
      <c r="B71">
        <v>8</v>
      </c>
      <c r="C71">
        <v>18</v>
      </c>
      <c r="D71">
        <v>16</v>
      </c>
      <c r="E71">
        <v>239.87</v>
      </c>
      <c r="F71">
        <v>14.5</v>
      </c>
      <c r="G71">
        <v>1</v>
      </c>
      <c r="H71">
        <v>0.5</v>
      </c>
      <c r="I71">
        <v>1</v>
      </c>
      <c r="J71">
        <v>0</v>
      </c>
      <c r="K71">
        <v>1.5</v>
      </c>
      <c r="L71" s="1">
        <f t="shared" si="4"/>
        <v>4.0212495551827496</v>
      </c>
      <c r="M71">
        <f t="shared" si="5"/>
        <v>1.6258790436005599</v>
      </c>
    </row>
    <row r="72" spans="1:13">
      <c r="A72">
        <v>2013</v>
      </c>
      <c r="B72">
        <v>8</v>
      </c>
      <c r="C72">
        <v>18</v>
      </c>
      <c r="D72">
        <v>17</v>
      </c>
      <c r="E72">
        <v>251.58</v>
      </c>
      <c r="F72">
        <v>0.5</v>
      </c>
      <c r="G72">
        <v>0</v>
      </c>
      <c r="H72">
        <v>0</v>
      </c>
      <c r="I72">
        <v>0</v>
      </c>
      <c r="J72">
        <v>0</v>
      </c>
      <c r="K72">
        <v>4</v>
      </c>
      <c r="L72" s="1">
        <f t="shared" si="4"/>
        <v>0.65899039194753894</v>
      </c>
      <c r="M72">
        <f t="shared" si="5"/>
        <v>1.70525138528799</v>
      </c>
    </row>
    <row r="73" spans="1:13">
      <c r="A73">
        <v>2013</v>
      </c>
      <c r="B73">
        <v>8</v>
      </c>
      <c r="C73">
        <v>18</v>
      </c>
      <c r="D73">
        <v>18</v>
      </c>
      <c r="E73">
        <v>177.81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1">
        <f t="shared" si="4"/>
        <v>0</v>
      </c>
      <c r="M73">
        <f t="shared" si="5"/>
        <v>1.20522596715978</v>
      </c>
    </row>
    <row r="74" spans="1:13">
      <c r="A74">
        <v>2013</v>
      </c>
      <c r="B74">
        <v>8</v>
      </c>
      <c r="C74">
        <v>18</v>
      </c>
      <c r="D74">
        <v>19</v>
      </c>
      <c r="E74">
        <v>228.65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1">
        <f t="shared" si="4"/>
        <v>0</v>
      </c>
      <c r="M74">
        <f t="shared" si="5"/>
        <v>1.5498280039991199</v>
      </c>
    </row>
    <row r="75" spans="1:13">
      <c r="A75">
        <v>2013</v>
      </c>
      <c r="B75">
        <v>8</v>
      </c>
      <c r="C75">
        <v>18</v>
      </c>
      <c r="D75">
        <v>20</v>
      </c>
      <c r="E75">
        <v>220.92</v>
      </c>
      <c r="F75">
        <v>0</v>
      </c>
      <c r="G75">
        <v>0</v>
      </c>
      <c r="H75">
        <v>0.5</v>
      </c>
      <c r="I75">
        <v>0</v>
      </c>
      <c r="J75">
        <v>0</v>
      </c>
      <c r="K75">
        <v>0</v>
      </c>
      <c r="L75" s="1">
        <f t="shared" si="4"/>
        <v>7.7482927490552994E-2</v>
      </c>
      <c r="M75">
        <f t="shared" si="5"/>
        <v>1.49743276905089</v>
      </c>
    </row>
    <row r="76" spans="1:13">
      <c r="A76">
        <v>2013</v>
      </c>
      <c r="B76">
        <v>8</v>
      </c>
      <c r="C76">
        <v>18</v>
      </c>
      <c r="D76">
        <v>21</v>
      </c>
      <c r="E76">
        <v>212.59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1">
        <f t="shared" si="4"/>
        <v>0</v>
      </c>
      <c r="M76">
        <f t="shared" si="5"/>
        <v>1.4409706335892101</v>
      </c>
    </row>
    <row r="77" spans="1:13">
      <c r="A77">
        <v>2013</v>
      </c>
      <c r="B77">
        <v>8</v>
      </c>
      <c r="C77">
        <v>18</v>
      </c>
      <c r="D77">
        <v>22</v>
      </c>
      <c r="E77">
        <v>205.21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1">
        <f t="shared" si="4"/>
        <v>0</v>
      </c>
      <c r="M77">
        <f t="shared" si="5"/>
        <v>1.39094775727382</v>
      </c>
    </row>
    <row r="78" spans="1:13">
      <c r="A78">
        <v>2013</v>
      </c>
      <c r="B78">
        <v>8</v>
      </c>
      <c r="C78">
        <v>18</v>
      </c>
      <c r="D78">
        <v>23</v>
      </c>
      <c r="E78">
        <v>198.66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f t="shared" si="4"/>
        <v>0</v>
      </c>
      <c r="M78">
        <f t="shared" si="5"/>
        <v>1.3465507600020299</v>
      </c>
    </row>
    <row r="79" spans="1:13">
      <c r="A79">
        <v>2013</v>
      </c>
      <c r="B79">
        <v>8</v>
      </c>
      <c r="C79">
        <v>19</v>
      </c>
      <c r="D79">
        <v>0</v>
      </c>
      <c r="E79">
        <v>192.83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1">
        <f t="shared" si="4"/>
        <v>0</v>
      </c>
      <c r="M79">
        <f t="shared" si="5"/>
        <v>1.3070340433463801</v>
      </c>
    </row>
    <row r="80" spans="1:13">
      <c r="A80">
        <v>2013</v>
      </c>
      <c r="B80">
        <v>8</v>
      </c>
      <c r="C80">
        <v>19</v>
      </c>
      <c r="D80">
        <v>1</v>
      </c>
      <c r="E80">
        <v>187.59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1">
        <f t="shared" si="4"/>
        <v>0</v>
      </c>
      <c r="M80">
        <f t="shared" si="5"/>
        <v>1.27151644552895</v>
      </c>
    </row>
    <row r="81" spans="1:13">
      <c r="A81">
        <v>2013</v>
      </c>
      <c r="B81">
        <v>8</v>
      </c>
      <c r="C81">
        <v>19</v>
      </c>
      <c r="D81">
        <v>2</v>
      </c>
      <c r="E81">
        <v>182.84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1">
        <f t="shared" si="4"/>
        <v>0</v>
      </c>
      <c r="M81">
        <f t="shared" si="5"/>
        <v>1.2393201497974999</v>
      </c>
    </row>
    <row r="82" spans="1:13">
      <c r="A82">
        <v>2013</v>
      </c>
      <c r="B82">
        <v>8</v>
      </c>
      <c r="C82">
        <v>19</v>
      </c>
      <c r="D82">
        <v>3</v>
      </c>
      <c r="E82">
        <v>178.45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1">
        <f t="shared" si="4"/>
        <v>0</v>
      </c>
      <c r="M82">
        <f t="shared" si="5"/>
        <v>1.2095639943741201</v>
      </c>
    </row>
    <row r="83" spans="1:13">
      <c r="A83">
        <v>2013</v>
      </c>
      <c r="B83">
        <v>8</v>
      </c>
      <c r="C83">
        <v>19</v>
      </c>
      <c r="D83">
        <v>4</v>
      </c>
      <c r="E83">
        <v>174.32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1">
        <f t="shared" si="4"/>
        <v>0</v>
      </c>
      <c r="M83">
        <f t="shared" si="5"/>
        <v>1.18157016250657</v>
      </c>
    </row>
    <row r="84" spans="1:13">
      <c r="A84">
        <v>2013</v>
      </c>
      <c r="B84">
        <v>8</v>
      </c>
      <c r="C84">
        <v>19</v>
      </c>
      <c r="D84">
        <v>5</v>
      </c>
      <c r="E84">
        <v>170.32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1">
        <f t="shared" si="4"/>
        <v>0</v>
      </c>
      <c r="M84">
        <f t="shared" si="5"/>
        <v>1.15445749241693</v>
      </c>
    </row>
    <row r="85" spans="1:13">
      <c r="A85">
        <v>2013</v>
      </c>
      <c r="B85">
        <v>8</v>
      </c>
      <c r="C85">
        <v>19</v>
      </c>
      <c r="D85">
        <v>6</v>
      </c>
      <c r="E85">
        <v>166.34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1">
        <f t="shared" si="4"/>
        <v>0</v>
      </c>
      <c r="M85">
        <f t="shared" si="5"/>
        <v>1.12748038567773</v>
      </c>
    </row>
    <row r="86" spans="1:13">
      <c r="A86">
        <v>2013</v>
      </c>
      <c r="B86">
        <v>8</v>
      </c>
      <c r="C86">
        <v>19</v>
      </c>
      <c r="D86">
        <v>7</v>
      </c>
      <c r="E86">
        <v>162.28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1">
        <f t="shared" si="4"/>
        <v>0</v>
      </c>
      <c r="M86">
        <f t="shared" si="5"/>
        <v>1.09996102553675</v>
      </c>
    </row>
    <row r="87" spans="1:13">
      <c r="A87">
        <v>2013</v>
      </c>
      <c r="B87">
        <v>8</v>
      </c>
      <c r="C87">
        <v>19</v>
      </c>
      <c r="D87">
        <v>8</v>
      </c>
      <c r="E87">
        <v>158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1">
        <f t="shared" si="4"/>
        <v>0</v>
      </c>
      <c r="M87">
        <f t="shared" si="5"/>
        <v>1.07095046854083</v>
      </c>
    </row>
    <row r="88" spans="1:13">
      <c r="A88">
        <v>2013</v>
      </c>
      <c r="B88">
        <v>8</v>
      </c>
      <c r="C88">
        <v>19</v>
      </c>
      <c r="D88">
        <v>9</v>
      </c>
      <c r="E88">
        <v>153.47999999999999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1">
        <f t="shared" si="4"/>
        <v>0</v>
      </c>
      <c r="M88">
        <f t="shared" si="5"/>
        <v>1.0403131513395401</v>
      </c>
    </row>
    <row r="89" spans="1:13">
      <c r="A89">
        <v>2013</v>
      </c>
      <c r="B89">
        <v>8</v>
      </c>
      <c r="C89">
        <v>19</v>
      </c>
      <c r="D89">
        <v>10</v>
      </c>
      <c r="E89">
        <v>149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">
        <f t="shared" si="4"/>
        <v>0</v>
      </c>
      <c r="M89">
        <f t="shared" si="5"/>
        <v>1.00994696083914</v>
      </c>
    </row>
    <row r="90" spans="1:13">
      <c r="A90">
        <v>2013</v>
      </c>
      <c r="B90">
        <v>8</v>
      </c>
      <c r="C90">
        <v>19</v>
      </c>
      <c r="D90">
        <v>11</v>
      </c>
      <c r="E90">
        <v>144.94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f t="shared" si="4"/>
        <v>0</v>
      </c>
      <c r="M90">
        <f t="shared" si="5"/>
        <v>0.98242760069815105</v>
      </c>
    </row>
    <row r="91" spans="1:13">
      <c r="A91">
        <v>2013</v>
      </c>
      <c r="B91">
        <v>8</v>
      </c>
      <c r="C91">
        <v>19</v>
      </c>
      <c r="D91">
        <v>12</v>
      </c>
      <c r="E91">
        <v>141.66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f t="shared" si="4"/>
        <v>0</v>
      </c>
      <c r="M91">
        <f t="shared" si="5"/>
        <v>0.96019521122464502</v>
      </c>
    </row>
    <row r="92" spans="1:13">
      <c r="A92">
        <v>2013</v>
      </c>
      <c r="B92">
        <v>8</v>
      </c>
      <c r="C92">
        <v>19</v>
      </c>
      <c r="D92">
        <v>13</v>
      </c>
      <c r="E92">
        <v>139.53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f t="shared" si="4"/>
        <v>0</v>
      </c>
      <c r="M92">
        <f t="shared" si="5"/>
        <v>0.94575771440191103</v>
      </c>
    </row>
    <row r="93" spans="1:13">
      <c r="A93">
        <v>2013</v>
      </c>
      <c r="B93">
        <v>8</v>
      </c>
      <c r="C93">
        <v>19</v>
      </c>
      <c r="D93">
        <v>14</v>
      </c>
      <c r="E93">
        <v>138.91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1">
        <f t="shared" si="4"/>
        <v>0</v>
      </c>
      <c r="M93">
        <f t="shared" si="5"/>
        <v>0.94155525053801703</v>
      </c>
    </row>
    <row r="94" spans="1:13">
      <c r="A94">
        <v>2013</v>
      </c>
      <c r="B94">
        <v>8</v>
      </c>
      <c r="C94">
        <v>19</v>
      </c>
      <c r="D94">
        <v>15</v>
      </c>
      <c r="E94">
        <v>139.5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1">
        <f t="shared" si="4"/>
        <v>0</v>
      </c>
      <c r="M94">
        <f t="shared" si="5"/>
        <v>0.94555436937623905</v>
      </c>
    </row>
    <row r="95" spans="1:13">
      <c r="A95">
        <v>2013</v>
      </c>
      <c r="B95">
        <v>8</v>
      </c>
      <c r="C95">
        <v>19</v>
      </c>
      <c r="D95">
        <v>16</v>
      </c>
      <c r="E95">
        <v>136.5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1">
        <f t="shared" si="4"/>
        <v>0</v>
      </c>
      <c r="M95">
        <f t="shared" si="5"/>
        <v>0.92521986680900803</v>
      </c>
    </row>
    <row r="96" spans="1:13">
      <c r="A96">
        <v>2013</v>
      </c>
      <c r="B96">
        <v>8</v>
      </c>
      <c r="C96">
        <v>19</v>
      </c>
      <c r="D96">
        <v>17</v>
      </c>
      <c r="E96">
        <v>130.97999999999999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1">
        <f t="shared" si="4"/>
        <v>0</v>
      </c>
      <c r="M96">
        <f t="shared" si="5"/>
        <v>0.88780438208530299</v>
      </c>
    </row>
    <row r="97" spans="1:13">
      <c r="A97">
        <v>2013</v>
      </c>
      <c r="B97">
        <v>8</v>
      </c>
      <c r="C97">
        <v>19</v>
      </c>
      <c r="D97">
        <v>18</v>
      </c>
      <c r="E97">
        <v>130.24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1">
        <f t="shared" si="4"/>
        <v>0</v>
      </c>
      <c r="M97">
        <f t="shared" si="5"/>
        <v>0.88278853811872005</v>
      </c>
    </row>
    <row r="98" spans="1:13">
      <c r="A98">
        <v>2013</v>
      </c>
      <c r="B98">
        <v>8</v>
      </c>
      <c r="C98">
        <v>19</v>
      </c>
      <c r="D98">
        <v>19</v>
      </c>
      <c r="E98">
        <v>134.16999999999999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1">
        <f t="shared" si="4"/>
        <v>0</v>
      </c>
      <c r="M98">
        <f t="shared" si="5"/>
        <v>0.90942673648179195</v>
      </c>
    </row>
    <row r="99" spans="1:13">
      <c r="A99">
        <v>2013</v>
      </c>
      <c r="B99">
        <v>8</v>
      </c>
      <c r="C99">
        <v>19</v>
      </c>
      <c r="D99">
        <v>20</v>
      </c>
      <c r="E99">
        <v>126.84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1">
        <f t="shared" si="4"/>
        <v>0</v>
      </c>
      <c r="M99">
        <f t="shared" si="5"/>
        <v>0.85974276854252496</v>
      </c>
    </row>
    <row r="100" spans="1:13">
      <c r="A100">
        <v>2013</v>
      </c>
      <c r="B100">
        <v>8</v>
      </c>
      <c r="C100">
        <v>19</v>
      </c>
      <c r="D100">
        <v>21</v>
      </c>
      <c r="E100">
        <v>131.87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1">
        <f t="shared" si="4"/>
        <v>0</v>
      </c>
      <c r="M100">
        <f t="shared" si="5"/>
        <v>0.89383695118024797</v>
      </c>
    </row>
    <row r="101" spans="1:13">
      <c r="A101">
        <v>2013</v>
      </c>
      <c r="B101">
        <v>8</v>
      </c>
      <c r="C101">
        <v>19</v>
      </c>
      <c r="D101">
        <v>22</v>
      </c>
      <c r="E101">
        <v>129.16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1">
        <f t="shared" ref="L101:L117" si="6">F101*$F$2+G101*$G$2+H101*$H$2+I101*$I$2+J101*$J$2+K101*$K$2</f>
        <v>0</v>
      </c>
      <c r="M101">
        <f t="shared" ref="M101:M117" si="7">E101*3600/(1000*$L$1)</f>
        <v>0.875468117194516</v>
      </c>
    </row>
    <row r="102" spans="1:13">
      <c r="A102">
        <v>2013</v>
      </c>
      <c r="B102">
        <v>8</v>
      </c>
      <c r="C102">
        <v>19</v>
      </c>
      <c r="D102">
        <v>23</v>
      </c>
      <c r="E102">
        <v>123.41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1">
        <f t="shared" si="6"/>
        <v>0</v>
      </c>
      <c r="M102">
        <f t="shared" si="7"/>
        <v>0.836493653940657</v>
      </c>
    </row>
    <row r="103" spans="1:13">
      <c r="A103">
        <v>2013</v>
      </c>
      <c r="B103">
        <v>8</v>
      </c>
      <c r="C103">
        <v>20</v>
      </c>
      <c r="D103">
        <v>0</v>
      </c>
      <c r="E103">
        <v>120.13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">
        <f t="shared" si="6"/>
        <v>0</v>
      </c>
      <c r="M103">
        <f t="shared" si="7"/>
        <v>0.81426126446715097</v>
      </c>
    </row>
    <row r="104" spans="1:13">
      <c r="A104">
        <v>2013</v>
      </c>
      <c r="B104">
        <v>8</v>
      </c>
      <c r="C104">
        <v>20</v>
      </c>
      <c r="D104">
        <v>1</v>
      </c>
      <c r="E104">
        <v>120.58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1">
        <f t="shared" si="6"/>
        <v>0</v>
      </c>
      <c r="M104">
        <f t="shared" si="7"/>
        <v>0.81731143985223598</v>
      </c>
    </row>
    <row r="105" spans="1:13">
      <c r="A105">
        <v>2013</v>
      </c>
      <c r="B105">
        <v>8</v>
      </c>
      <c r="C105">
        <v>20</v>
      </c>
      <c r="D105">
        <v>2</v>
      </c>
      <c r="E105">
        <v>121.26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1">
        <f t="shared" si="6"/>
        <v>0</v>
      </c>
      <c r="M105">
        <f t="shared" si="7"/>
        <v>0.82192059376747495</v>
      </c>
    </row>
    <row r="106" spans="1:13">
      <c r="A106">
        <v>2013</v>
      </c>
      <c r="B106">
        <v>8</v>
      </c>
      <c r="C106">
        <v>20</v>
      </c>
      <c r="D106">
        <v>3</v>
      </c>
      <c r="E106">
        <v>120.68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1">
        <f t="shared" si="6"/>
        <v>0</v>
      </c>
      <c r="M106">
        <f t="shared" si="7"/>
        <v>0.81798925660447697</v>
      </c>
    </row>
    <row r="107" spans="1:13">
      <c r="A107">
        <v>2013</v>
      </c>
      <c r="B107">
        <v>8</v>
      </c>
      <c r="C107">
        <v>20</v>
      </c>
      <c r="D107">
        <v>4</v>
      </c>
      <c r="E107">
        <v>119.09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1">
        <f t="shared" si="6"/>
        <v>0</v>
      </c>
      <c r="M107">
        <f t="shared" si="7"/>
        <v>0.80721197024384495</v>
      </c>
    </row>
    <row r="108" spans="1:13">
      <c r="A108">
        <v>2013</v>
      </c>
      <c r="B108">
        <v>8</v>
      </c>
      <c r="C108">
        <v>20</v>
      </c>
      <c r="D108">
        <v>5</v>
      </c>
      <c r="E108">
        <v>116.79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1">
        <f t="shared" si="6"/>
        <v>0</v>
      </c>
      <c r="M108">
        <f t="shared" si="7"/>
        <v>0.79162218494230097</v>
      </c>
    </row>
    <row r="109" spans="1:13">
      <c r="A109">
        <v>2013</v>
      </c>
      <c r="B109">
        <v>8</v>
      </c>
      <c r="C109">
        <v>20</v>
      </c>
      <c r="D109">
        <v>6</v>
      </c>
      <c r="E109">
        <v>114.57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1">
        <f t="shared" si="6"/>
        <v>0</v>
      </c>
      <c r="M109">
        <f t="shared" si="7"/>
        <v>0.77657465304255002</v>
      </c>
    </row>
    <row r="110" spans="1:13">
      <c r="A110">
        <v>2013</v>
      </c>
      <c r="B110">
        <v>8</v>
      </c>
      <c r="C110">
        <v>20</v>
      </c>
      <c r="D110">
        <v>7</v>
      </c>
      <c r="E110">
        <v>113.66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1">
        <f t="shared" si="6"/>
        <v>0</v>
      </c>
      <c r="M110">
        <f t="shared" si="7"/>
        <v>0.77040652059715697</v>
      </c>
    </row>
    <row r="111" spans="1:13">
      <c r="A111">
        <v>2013</v>
      </c>
      <c r="B111">
        <v>8</v>
      </c>
      <c r="C111">
        <v>20</v>
      </c>
      <c r="D111">
        <v>8</v>
      </c>
      <c r="E111">
        <v>114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">
        <f t="shared" si="6"/>
        <v>0</v>
      </c>
      <c r="M111">
        <f t="shared" si="7"/>
        <v>0.77271109755477596</v>
      </c>
    </row>
    <row r="112" spans="1:13">
      <c r="A112">
        <v>2013</v>
      </c>
      <c r="B112">
        <v>8</v>
      </c>
      <c r="C112">
        <v>20</v>
      </c>
      <c r="D112">
        <v>9</v>
      </c>
      <c r="E112">
        <v>111.89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>
        <f t="shared" si="6"/>
        <v>0</v>
      </c>
      <c r="M112">
        <f t="shared" si="7"/>
        <v>0.75840916408249004</v>
      </c>
    </row>
    <row r="113" spans="1:13">
      <c r="A113">
        <v>2013</v>
      </c>
      <c r="B113">
        <v>8</v>
      </c>
      <c r="C113">
        <v>20</v>
      </c>
      <c r="D113">
        <v>10</v>
      </c>
      <c r="E113">
        <v>115.32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1">
        <f t="shared" si="6"/>
        <v>0</v>
      </c>
      <c r="M113">
        <f t="shared" si="7"/>
        <v>0.781658278684358</v>
      </c>
    </row>
    <row r="114" spans="1:13">
      <c r="A114">
        <v>2013</v>
      </c>
      <c r="B114">
        <v>8</v>
      </c>
      <c r="C114">
        <v>20</v>
      </c>
      <c r="D114">
        <v>11</v>
      </c>
      <c r="E114">
        <v>97.24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1">
        <f t="shared" si="6"/>
        <v>0</v>
      </c>
      <c r="M114">
        <f t="shared" si="7"/>
        <v>0.65910900987917898</v>
      </c>
    </row>
    <row r="115" spans="1:13">
      <c r="A115">
        <v>2013</v>
      </c>
      <c r="B115">
        <v>8</v>
      </c>
      <c r="C115">
        <v>20</v>
      </c>
      <c r="D115">
        <v>12</v>
      </c>
      <c r="E115">
        <v>98.62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1">
        <f t="shared" si="6"/>
        <v>0</v>
      </c>
      <c r="M115">
        <f t="shared" si="7"/>
        <v>0.66846288106010499</v>
      </c>
    </row>
    <row r="116" spans="1:13">
      <c r="A116">
        <v>2013</v>
      </c>
      <c r="B116">
        <v>8</v>
      </c>
      <c r="C116">
        <v>20</v>
      </c>
      <c r="D116">
        <v>13</v>
      </c>
      <c r="E116">
        <v>124.2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1">
        <f t="shared" si="6"/>
        <v>0</v>
      </c>
      <c r="M116">
        <f t="shared" si="7"/>
        <v>0.84184840628336099</v>
      </c>
    </row>
    <row r="117" spans="1:13">
      <c r="A117">
        <v>2013</v>
      </c>
      <c r="B117">
        <v>8</v>
      </c>
      <c r="C117">
        <v>20</v>
      </c>
      <c r="D117">
        <v>14</v>
      </c>
      <c r="E117">
        <v>74.52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1">
        <f t="shared" si="6"/>
        <v>0</v>
      </c>
      <c r="M117">
        <f t="shared" si="7"/>
        <v>0.50510904377001697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000"/>
  </sheetPr>
  <dimension ref="A1:M64"/>
  <sheetViews>
    <sheetView zoomScale="115" zoomScaleNormal="115"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2014</v>
      </c>
      <c r="B4">
        <v>6</v>
      </c>
      <c r="C4">
        <v>2</v>
      </c>
      <c r="D4">
        <v>20</v>
      </c>
      <c r="E4">
        <v>26.66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">
        <f>F4*$F$2+G4*$G$2+H4*$H$2+I4*$I$2+J4*$J$2+K4*$K$2</f>
        <v>0</v>
      </c>
      <c r="M4">
        <f>E4*3600/(1000*$L$1)</f>
        <v>0.180705946147459</v>
      </c>
    </row>
    <row r="5" spans="1:13">
      <c r="A5">
        <v>2014</v>
      </c>
      <c r="B5">
        <v>6</v>
      </c>
      <c r="C5">
        <v>2</v>
      </c>
      <c r="D5">
        <v>21</v>
      </c>
      <c r="E5">
        <v>44.1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f t="shared" ref="L5:L36" si="0">F5*$F$2+G5*$G$2+H5*$H$2+I5*$I$2+J5*$J$2+K5*$K$2</f>
        <v>0</v>
      </c>
      <c r="M5">
        <f t="shared" ref="M5:M36" si="1">E5*3600/(1000*$L$1)</f>
        <v>0.29891718773829501</v>
      </c>
    </row>
    <row r="6" spans="1:13">
      <c r="A6">
        <v>2014</v>
      </c>
      <c r="B6">
        <v>6</v>
      </c>
      <c r="C6">
        <v>2</v>
      </c>
      <c r="D6">
        <v>22</v>
      </c>
      <c r="E6">
        <v>66.75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f t="shared" si="0"/>
        <v>0</v>
      </c>
      <c r="M6">
        <f t="shared" si="1"/>
        <v>0.45244268212088901</v>
      </c>
    </row>
    <row r="7" spans="1:13">
      <c r="A7">
        <v>2014</v>
      </c>
      <c r="B7">
        <v>6</v>
      </c>
      <c r="C7">
        <v>2</v>
      </c>
      <c r="D7">
        <v>23</v>
      </c>
      <c r="E7">
        <v>106.49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">
        <f t="shared" si="0"/>
        <v>0</v>
      </c>
      <c r="M7">
        <f t="shared" si="1"/>
        <v>0.72180705946147505</v>
      </c>
    </row>
    <row r="8" spans="1:13">
      <c r="A8">
        <v>2014</v>
      </c>
      <c r="B8">
        <v>6</v>
      </c>
      <c r="C8">
        <v>3</v>
      </c>
      <c r="D8">
        <v>0</v>
      </c>
      <c r="E8">
        <v>156.11000000000001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">
        <f t="shared" si="0"/>
        <v>0</v>
      </c>
      <c r="M8">
        <f t="shared" si="1"/>
        <v>1.05813973192347</v>
      </c>
    </row>
    <row r="9" spans="1:13">
      <c r="A9">
        <v>2014</v>
      </c>
      <c r="B9">
        <v>6</v>
      </c>
      <c r="C9">
        <v>3</v>
      </c>
      <c r="D9">
        <v>1</v>
      </c>
      <c r="E9">
        <v>207.66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 s="1">
        <f t="shared" si="0"/>
        <v>0.30126318683077402</v>
      </c>
      <c r="M9">
        <f t="shared" si="1"/>
        <v>1.40755426770373</v>
      </c>
    </row>
    <row r="10" spans="1:13">
      <c r="A10">
        <v>2014</v>
      </c>
      <c r="B10">
        <v>6</v>
      </c>
      <c r="C10">
        <v>3</v>
      </c>
      <c r="D10">
        <v>2</v>
      </c>
      <c r="E10">
        <v>253.17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 s="1">
        <f t="shared" si="0"/>
        <v>0.91226603554395602</v>
      </c>
      <c r="M10">
        <f t="shared" si="1"/>
        <v>1.7160286716486199</v>
      </c>
    </row>
    <row r="11" spans="1:13">
      <c r="A11">
        <v>2014</v>
      </c>
      <c r="B11">
        <v>6</v>
      </c>
      <c r="C11">
        <v>3</v>
      </c>
      <c r="D11">
        <v>3</v>
      </c>
      <c r="E11">
        <v>284.64999999999998</v>
      </c>
      <c r="F11">
        <v>10.5</v>
      </c>
      <c r="G11">
        <v>13</v>
      </c>
      <c r="H11">
        <v>5.5</v>
      </c>
      <c r="I11">
        <v>2.5</v>
      </c>
      <c r="J11">
        <v>5</v>
      </c>
      <c r="K11">
        <v>0</v>
      </c>
      <c r="L11" s="1">
        <f t="shared" si="0"/>
        <v>7.7328074605030599</v>
      </c>
      <c r="M11">
        <f t="shared" si="1"/>
        <v>1.9294053852541</v>
      </c>
    </row>
    <row r="12" spans="1:13">
      <c r="A12">
        <v>2014</v>
      </c>
      <c r="B12">
        <v>6</v>
      </c>
      <c r="C12">
        <v>3</v>
      </c>
      <c r="D12">
        <v>4</v>
      </c>
      <c r="E12">
        <v>294.14999999999998</v>
      </c>
      <c r="F12">
        <v>0.5</v>
      </c>
      <c r="G12">
        <v>11</v>
      </c>
      <c r="H12">
        <v>36.5</v>
      </c>
      <c r="I12">
        <v>0</v>
      </c>
      <c r="J12">
        <v>0</v>
      </c>
      <c r="K12">
        <v>0</v>
      </c>
      <c r="L12" s="1">
        <f t="shared" si="0"/>
        <v>9.0841820163918801</v>
      </c>
      <c r="M12">
        <f t="shared" si="1"/>
        <v>1.99379797671699</v>
      </c>
    </row>
    <row r="13" spans="1:13">
      <c r="A13">
        <v>2014</v>
      </c>
      <c r="B13">
        <v>6</v>
      </c>
      <c r="C13">
        <v>3</v>
      </c>
      <c r="D13">
        <v>5</v>
      </c>
      <c r="E13">
        <v>273.69</v>
      </c>
      <c r="F13">
        <v>11.5</v>
      </c>
      <c r="G13">
        <v>4</v>
      </c>
      <c r="H13">
        <v>20.5</v>
      </c>
      <c r="I13">
        <v>7.5</v>
      </c>
      <c r="J13">
        <v>3.5</v>
      </c>
      <c r="K13">
        <v>1.5</v>
      </c>
      <c r="L13" s="1">
        <f t="shared" si="0"/>
        <v>8.3618251722313506</v>
      </c>
      <c r="M13">
        <f t="shared" si="1"/>
        <v>1.85511666920848</v>
      </c>
    </row>
    <row r="14" spans="1:13">
      <c r="A14">
        <v>2014</v>
      </c>
      <c r="B14">
        <v>6</v>
      </c>
      <c r="C14">
        <v>3</v>
      </c>
      <c r="D14">
        <v>6</v>
      </c>
      <c r="E14">
        <v>215.3</v>
      </c>
      <c r="F14">
        <v>2</v>
      </c>
      <c r="G14">
        <v>24.5</v>
      </c>
      <c r="H14">
        <v>35.5</v>
      </c>
      <c r="I14">
        <v>4.5</v>
      </c>
      <c r="J14">
        <v>1</v>
      </c>
      <c r="K14">
        <v>3.5</v>
      </c>
      <c r="L14" s="1">
        <f t="shared" si="0"/>
        <v>14.453802081274</v>
      </c>
      <c r="M14">
        <f t="shared" si="1"/>
        <v>1.45933946757494</v>
      </c>
    </row>
    <row r="15" spans="1:13">
      <c r="A15">
        <v>2014</v>
      </c>
      <c r="B15">
        <v>6</v>
      </c>
      <c r="C15">
        <v>3</v>
      </c>
      <c r="D15">
        <v>7</v>
      </c>
      <c r="E15">
        <v>111.02</v>
      </c>
      <c r="F15">
        <v>9.5</v>
      </c>
      <c r="G15">
        <v>32</v>
      </c>
      <c r="H15">
        <v>0</v>
      </c>
      <c r="I15">
        <v>25.5</v>
      </c>
      <c r="J15">
        <v>6.5</v>
      </c>
      <c r="K15">
        <v>4</v>
      </c>
      <c r="L15" s="1">
        <f t="shared" si="0"/>
        <v>16.0109570960824</v>
      </c>
      <c r="M15">
        <f t="shared" si="1"/>
        <v>0.75251215833799301</v>
      </c>
    </row>
    <row r="16" spans="1:13">
      <c r="A16">
        <v>2014</v>
      </c>
      <c r="B16">
        <v>6</v>
      </c>
      <c r="C16">
        <v>3</v>
      </c>
      <c r="D16">
        <v>8</v>
      </c>
      <c r="E16">
        <v>55</v>
      </c>
      <c r="F16">
        <v>4.5</v>
      </c>
      <c r="G16">
        <v>4.5</v>
      </c>
      <c r="H16">
        <v>0</v>
      </c>
      <c r="I16">
        <v>3.5</v>
      </c>
      <c r="J16">
        <v>3.5</v>
      </c>
      <c r="K16">
        <v>4</v>
      </c>
      <c r="L16" s="1">
        <f t="shared" si="0"/>
        <v>3.5550688454709598</v>
      </c>
      <c r="M16">
        <f t="shared" si="1"/>
        <v>0.37279921373256703</v>
      </c>
    </row>
    <row r="17" spans="1:13">
      <c r="A17">
        <v>2014</v>
      </c>
      <c r="B17">
        <v>6</v>
      </c>
      <c r="C17">
        <v>3</v>
      </c>
      <c r="D17">
        <v>9</v>
      </c>
      <c r="E17">
        <v>311.58999999999997</v>
      </c>
      <c r="F17">
        <v>5</v>
      </c>
      <c r="G17">
        <v>6</v>
      </c>
      <c r="H17">
        <v>0</v>
      </c>
      <c r="I17">
        <v>31.5</v>
      </c>
      <c r="J17">
        <v>10.5</v>
      </c>
      <c r="K17">
        <v>8</v>
      </c>
      <c r="L17" s="1">
        <f t="shared" si="0"/>
        <v>8.6769930166046301</v>
      </c>
      <c r="M17">
        <f t="shared" si="1"/>
        <v>2.1120092183078301</v>
      </c>
    </row>
    <row r="18" spans="1:13">
      <c r="A18">
        <v>2014</v>
      </c>
      <c r="B18">
        <v>6</v>
      </c>
      <c r="C18">
        <v>3</v>
      </c>
      <c r="D18">
        <v>10</v>
      </c>
      <c r="E18">
        <v>346</v>
      </c>
      <c r="F18">
        <v>6.5</v>
      </c>
      <c r="G18">
        <v>6</v>
      </c>
      <c r="H18">
        <v>0</v>
      </c>
      <c r="I18">
        <v>5.5</v>
      </c>
      <c r="J18">
        <v>6</v>
      </c>
      <c r="K18">
        <v>5</v>
      </c>
      <c r="L18" s="1">
        <f t="shared" si="0"/>
        <v>4.9824087724550399</v>
      </c>
      <c r="M18">
        <f t="shared" si="1"/>
        <v>2.3452459627539701</v>
      </c>
    </row>
    <row r="19" spans="1:13">
      <c r="A19">
        <v>2014</v>
      </c>
      <c r="B19">
        <v>6</v>
      </c>
      <c r="C19">
        <v>3</v>
      </c>
      <c r="D19">
        <v>11</v>
      </c>
      <c r="E19">
        <v>401.95</v>
      </c>
      <c r="F19">
        <v>2.5</v>
      </c>
      <c r="G19">
        <v>2.5</v>
      </c>
      <c r="H19">
        <v>0</v>
      </c>
      <c r="I19">
        <v>2.5</v>
      </c>
      <c r="J19">
        <v>2.5</v>
      </c>
      <c r="K19">
        <v>0</v>
      </c>
      <c r="L19" s="1">
        <f t="shared" si="0"/>
        <v>1.7719871516068999</v>
      </c>
      <c r="M19">
        <f t="shared" si="1"/>
        <v>2.7244844356328302</v>
      </c>
    </row>
    <row r="20" spans="1:13">
      <c r="A20">
        <v>2014</v>
      </c>
      <c r="B20">
        <v>6</v>
      </c>
      <c r="C20">
        <v>3</v>
      </c>
      <c r="D20">
        <v>12</v>
      </c>
      <c r="E20">
        <v>358</v>
      </c>
      <c r="F20">
        <v>4</v>
      </c>
      <c r="G20">
        <v>0</v>
      </c>
      <c r="H20">
        <v>0</v>
      </c>
      <c r="I20">
        <v>3</v>
      </c>
      <c r="J20">
        <v>8</v>
      </c>
      <c r="K20">
        <v>0.5</v>
      </c>
      <c r="L20" s="1">
        <f t="shared" si="0"/>
        <v>1.76020631988808</v>
      </c>
      <c r="M20">
        <f t="shared" si="1"/>
        <v>2.4265839730228902</v>
      </c>
    </row>
    <row r="21" spans="1:13">
      <c r="A21">
        <v>2014</v>
      </c>
      <c r="B21">
        <v>6</v>
      </c>
      <c r="C21">
        <v>3</v>
      </c>
      <c r="D21">
        <v>13</v>
      </c>
      <c r="E21">
        <v>303</v>
      </c>
      <c r="F21">
        <v>1.81</v>
      </c>
      <c r="G21">
        <v>2.5</v>
      </c>
      <c r="H21">
        <v>0</v>
      </c>
      <c r="I21">
        <v>0</v>
      </c>
      <c r="J21">
        <v>0</v>
      </c>
      <c r="K21">
        <v>0</v>
      </c>
      <c r="L21" s="1">
        <f t="shared" si="0"/>
        <v>1.16595834816058</v>
      </c>
      <c r="M21">
        <f t="shared" si="1"/>
        <v>2.05378475929033</v>
      </c>
    </row>
    <row r="22" spans="1:13">
      <c r="A22">
        <v>2014</v>
      </c>
      <c r="B22">
        <v>6</v>
      </c>
      <c r="C22">
        <v>3</v>
      </c>
      <c r="D22">
        <v>14</v>
      </c>
      <c r="E22">
        <v>257.57</v>
      </c>
      <c r="F22">
        <v>1.69</v>
      </c>
      <c r="G22">
        <v>24.5</v>
      </c>
      <c r="H22">
        <v>0</v>
      </c>
      <c r="I22">
        <v>1</v>
      </c>
      <c r="J22">
        <v>4.5</v>
      </c>
      <c r="K22">
        <v>6.5</v>
      </c>
      <c r="L22" s="1">
        <f t="shared" si="0"/>
        <v>9.0003985939068194</v>
      </c>
      <c r="M22">
        <f t="shared" si="1"/>
        <v>1.7458526087472299</v>
      </c>
    </row>
    <row r="23" spans="1:13">
      <c r="A23">
        <v>2014</v>
      </c>
      <c r="B23">
        <v>6</v>
      </c>
      <c r="C23">
        <v>3</v>
      </c>
      <c r="D23">
        <v>15</v>
      </c>
      <c r="E23">
        <v>210.68</v>
      </c>
      <c r="F23">
        <v>5</v>
      </c>
      <c r="G23">
        <v>3</v>
      </c>
      <c r="H23">
        <v>0</v>
      </c>
      <c r="I23">
        <v>11</v>
      </c>
      <c r="J23">
        <v>5.5</v>
      </c>
      <c r="K23">
        <v>11</v>
      </c>
      <c r="L23" s="1">
        <f t="shared" si="0"/>
        <v>5.2513033851298303</v>
      </c>
      <c r="M23">
        <f t="shared" si="1"/>
        <v>1.42802433362141</v>
      </c>
    </row>
    <row r="24" spans="1:13">
      <c r="A24">
        <v>2014</v>
      </c>
      <c r="B24">
        <v>6</v>
      </c>
      <c r="C24">
        <v>3</v>
      </c>
      <c r="D24">
        <v>16</v>
      </c>
      <c r="E24">
        <v>246</v>
      </c>
      <c r="F24">
        <v>6.5</v>
      </c>
      <c r="G24">
        <v>3</v>
      </c>
      <c r="H24">
        <v>0</v>
      </c>
      <c r="I24">
        <v>4</v>
      </c>
      <c r="J24">
        <v>3.5</v>
      </c>
      <c r="K24">
        <v>5</v>
      </c>
      <c r="L24" s="1">
        <f t="shared" si="0"/>
        <v>3.76113643509811</v>
      </c>
      <c r="M24">
        <f t="shared" si="1"/>
        <v>1.66742921051294</v>
      </c>
    </row>
    <row r="25" spans="1:13">
      <c r="A25">
        <v>2014</v>
      </c>
      <c r="B25">
        <v>6</v>
      </c>
      <c r="C25">
        <v>3</v>
      </c>
      <c r="D25">
        <v>17</v>
      </c>
      <c r="E25">
        <v>282.97000000000003</v>
      </c>
      <c r="F25">
        <v>3.5</v>
      </c>
      <c r="G25">
        <v>2.2200000000000002</v>
      </c>
      <c r="H25">
        <v>3.5</v>
      </c>
      <c r="I25">
        <v>4.5</v>
      </c>
      <c r="J25">
        <v>4.5</v>
      </c>
      <c r="K25">
        <v>4.5</v>
      </c>
      <c r="L25" s="1">
        <f t="shared" si="0"/>
        <v>3.4300875701587401</v>
      </c>
      <c r="M25">
        <f t="shared" si="1"/>
        <v>1.9180180638164499</v>
      </c>
    </row>
    <row r="26" spans="1:13">
      <c r="A26">
        <v>2014</v>
      </c>
      <c r="B26">
        <v>6</v>
      </c>
      <c r="C26">
        <v>3</v>
      </c>
      <c r="D26">
        <v>18</v>
      </c>
      <c r="E26">
        <v>291</v>
      </c>
      <c r="F26">
        <v>1.17</v>
      </c>
      <c r="G26">
        <v>2.78</v>
      </c>
      <c r="H26">
        <v>3</v>
      </c>
      <c r="I26">
        <v>1.24</v>
      </c>
      <c r="J26">
        <v>1</v>
      </c>
      <c r="K26">
        <v>0</v>
      </c>
      <c r="L26" s="1">
        <f t="shared" si="0"/>
        <v>1.78019543716356</v>
      </c>
      <c r="M26">
        <f t="shared" si="1"/>
        <v>1.9724467490213999</v>
      </c>
    </row>
    <row r="27" spans="1:13">
      <c r="A27">
        <v>2014</v>
      </c>
      <c r="B27">
        <v>6</v>
      </c>
      <c r="C27">
        <v>3</v>
      </c>
      <c r="D27">
        <v>19</v>
      </c>
      <c r="E27">
        <v>276.02999999999997</v>
      </c>
      <c r="F27">
        <v>1.17</v>
      </c>
      <c r="G27">
        <v>0</v>
      </c>
      <c r="H27">
        <v>0.5</v>
      </c>
      <c r="I27">
        <v>0.76</v>
      </c>
      <c r="J27">
        <v>0</v>
      </c>
      <c r="K27">
        <v>0</v>
      </c>
      <c r="L27" s="1">
        <f t="shared" si="0"/>
        <v>0.44401764582945003</v>
      </c>
      <c r="M27">
        <f t="shared" si="1"/>
        <v>1.8709775812109199</v>
      </c>
    </row>
    <row r="28" spans="1:13">
      <c r="A28">
        <v>2014</v>
      </c>
      <c r="B28">
        <v>6</v>
      </c>
      <c r="C28">
        <v>3</v>
      </c>
      <c r="D28">
        <v>20</v>
      </c>
      <c r="E28">
        <v>230.52</v>
      </c>
      <c r="F28">
        <v>1.17</v>
      </c>
      <c r="G28">
        <v>0</v>
      </c>
      <c r="H28">
        <v>0</v>
      </c>
      <c r="I28">
        <v>0</v>
      </c>
      <c r="J28">
        <v>0</v>
      </c>
      <c r="K28">
        <v>0</v>
      </c>
      <c r="L28" s="1">
        <f t="shared" si="0"/>
        <v>0.266837815396607</v>
      </c>
      <c r="M28">
        <f t="shared" si="1"/>
        <v>1.5625031772660301</v>
      </c>
    </row>
    <row r="29" spans="1:13">
      <c r="A29">
        <v>2014</v>
      </c>
      <c r="B29">
        <v>6</v>
      </c>
      <c r="C29">
        <v>3</v>
      </c>
      <c r="D29">
        <v>21</v>
      </c>
      <c r="E29">
        <v>213</v>
      </c>
      <c r="F29">
        <v>0.5</v>
      </c>
      <c r="G29">
        <v>0</v>
      </c>
      <c r="H29">
        <v>0</v>
      </c>
      <c r="I29">
        <v>0</v>
      </c>
      <c r="J29">
        <v>0</v>
      </c>
      <c r="K29">
        <v>0</v>
      </c>
      <c r="L29" s="1">
        <f t="shared" si="0"/>
        <v>0.114033254442995</v>
      </c>
      <c r="M29">
        <f t="shared" si="1"/>
        <v>1.4437496822733999</v>
      </c>
    </row>
    <row r="30" spans="1:13">
      <c r="A30">
        <v>2014</v>
      </c>
      <c r="B30">
        <v>6</v>
      </c>
      <c r="C30">
        <v>3</v>
      </c>
      <c r="D30">
        <v>22</v>
      </c>
      <c r="E30">
        <v>193.97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s="1">
        <f t="shared" si="0"/>
        <v>0</v>
      </c>
      <c r="M30">
        <f t="shared" si="1"/>
        <v>1.31476115432193</v>
      </c>
    </row>
    <row r="31" spans="1:13">
      <c r="A31">
        <v>2014</v>
      </c>
      <c r="B31">
        <v>6</v>
      </c>
      <c r="C31">
        <v>3</v>
      </c>
      <c r="D31">
        <v>23</v>
      </c>
      <c r="E31">
        <v>179</v>
      </c>
      <c r="F31">
        <v>0.33</v>
      </c>
      <c r="G31">
        <v>0</v>
      </c>
      <c r="H31">
        <v>0.5</v>
      </c>
      <c r="I31">
        <v>0</v>
      </c>
      <c r="J31">
        <v>0</v>
      </c>
      <c r="K31">
        <v>0</v>
      </c>
      <c r="L31" s="1">
        <f t="shared" si="0"/>
        <v>0.152744875422929</v>
      </c>
      <c r="M31">
        <f t="shared" si="1"/>
        <v>1.21329198651145</v>
      </c>
    </row>
    <row r="32" spans="1:13">
      <c r="A32">
        <v>2014</v>
      </c>
      <c r="B32">
        <v>6</v>
      </c>
      <c r="C32">
        <v>4</v>
      </c>
      <c r="D32">
        <v>0</v>
      </c>
      <c r="E32">
        <v>175.82</v>
      </c>
      <c r="F32">
        <v>0.67</v>
      </c>
      <c r="G32">
        <v>0</v>
      </c>
      <c r="H32">
        <v>0</v>
      </c>
      <c r="I32">
        <v>0</v>
      </c>
      <c r="J32">
        <v>0</v>
      </c>
      <c r="K32">
        <v>0</v>
      </c>
      <c r="L32" s="1">
        <f t="shared" si="0"/>
        <v>0.152804560953613</v>
      </c>
      <c r="M32">
        <f t="shared" si="1"/>
        <v>1.1917374137901799</v>
      </c>
    </row>
    <row r="33" spans="1:13">
      <c r="A33">
        <v>2014</v>
      </c>
      <c r="B33">
        <v>6</v>
      </c>
      <c r="C33">
        <v>4</v>
      </c>
      <c r="D33">
        <v>1</v>
      </c>
      <c r="E33">
        <v>163.4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">
        <f t="shared" si="0"/>
        <v>0</v>
      </c>
      <c r="M33">
        <f t="shared" si="1"/>
        <v>1.1075525731618501</v>
      </c>
    </row>
    <row r="34" spans="1:13">
      <c r="A34">
        <v>2014</v>
      </c>
      <c r="B34">
        <v>6</v>
      </c>
      <c r="C34">
        <v>4</v>
      </c>
      <c r="D34">
        <v>2</v>
      </c>
      <c r="E34">
        <v>148.78</v>
      </c>
      <c r="F34">
        <v>0.5</v>
      </c>
      <c r="G34">
        <v>0</v>
      </c>
      <c r="H34">
        <v>0</v>
      </c>
      <c r="I34">
        <v>0</v>
      </c>
      <c r="J34">
        <v>0</v>
      </c>
      <c r="K34">
        <v>0</v>
      </c>
      <c r="L34" s="1">
        <f t="shared" si="0"/>
        <v>0.114033254442995</v>
      </c>
      <c r="M34">
        <f t="shared" si="1"/>
        <v>1.00845576398421</v>
      </c>
    </row>
    <row r="35" spans="1:13">
      <c r="A35">
        <v>2014</v>
      </c>
      <c r="B35">
        <v>6</v>
      </c>
      <c r="C35">
        <v>4</v>
      </c>
      <c r="D35">
        <v>3</v>
      </c>
      <c r="E35">
        <v>139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1">
        <f t="shared" si="0"/>
        <v>0</v>
      </c>
      <c r="M35">
        <f t="shared" si="1"/>
        <v>0.94216528561503399</v>
      </c>
    </row>
    <row r="36" spans="1:13">
      <c r="A36">
        <v>2014</v>
      </c>
      <c r="B36">
        <v>6</v>
      </c>
      <c r="C36">
        <v>4</v>
      </c>
      <c r="D36">
        <v>4</v>
      </c>
      <c r="E36">
        <v>137.38999999999999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1">
        <f t="shared" si="0"/>
        <v>0</v>
      </c>
      <c r="M36">
        <f t="shared" si="1"/>
        <v>0.93125243590395301</v>
      </c>
    </row>
    <row r="37" spans="1:13">
      <c r="A37">
        <v>2014</v>
      </c>
      <c r="B37">
        <v>6</v>
      </c>
      <c r="C37">
        <v>4</v>
      </c>
      <c r="D37">
        <v>5</v>
      </c>
      <c r="E37">
        <v>132.41999999999999</v>
      </c>
      <c r="F37">
        <v>0.5</v>
      </c>
      <c r="G37">
        <v>0</v>
      </c>
      <c r="H37">
        <v>0</v>
      </c>
      <c r="I37">
        <v>0</v>
      </c>
      <c r="J37">
        <v>0</v>
      </c>
      <c r="K37">
        <v>0</v>
      </c>
      <c r="L37" s="1">
        <f t="shared" ref="L37:L64" si="2">F37*$F$2+G37*$G$2+H37*$H$2+I37*$I$2+J37*$J$2+K37*$K$2</f>
        <v>0.114033254442995</v>
      </c>
      <c r="M37">
        <f t="shared" ref="M37:M64" si="3">E37*3600/(1000*$L$1)</f>
        <v>0.89756494331757397</v>
      </c>
    </row>
    <row r="38" spans="1:13">
      <c r="A38">
        <v>2014</v>
      </c>
      <c r="B38">
        <v>6</v>
      </c>
      <c r="C38">
        <v>4</v>
      </c>
      <c r="D38">
        <v>6</v>
      </c>
      <c r="E38">
        <v>114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1">
        <f t="shared" si="2"/>
        <v>0</v>
      </c>
      <c r="M38">
        <f t="shared" si="3"/>
        <v>0.77271109755477596</v>
      </c>
    </row>
    <row r="39" spans="1:13">
      <c r="A39">
        <v>2014</v>
      </c>
      <c r="B39">
        <v>6</v>
      </c>
      <c r="C39">
        <v>4</v>
      </c>
      <c r="D39">
        <v>7</v>
      </c>
      <c r="E39">
        <v>109</v>
      </c>
      <c r="F39">
        <v>0</v>
      </c>
      <c r="G39">
        <v>0</v>
      </c>
      <c r="H39">
        <v>0</v>
      </c>
      <c r="I39">
        <v>0</v>
      </c>
      <c r="J39">
        <v>0</v>
      </c>
      <c r="K39">
        <v>0.5</v>
      </c>
      <c r="L39" s="1">
        <f t="shared" si="2"/>
        <v>6.8119642188068E-2</v>
      </c>
      <c r="M39">
        <f t="shared" si="3"/>
        <v>0.73882025994272404</v>
      </c>
    </row>
    <row r="40" spans="1:13">
      <c r="A40">
        <v>2014</v>
      </c>
      <c r="B40">
        <v>6</v>
      </c>
      <c r="C40">
        <v>4</v>
      </c>
      <c r="D40">
        <v>8</v>
      </c>
      <c r="E40">
        <v>111</v>
      </c>
      <c r="F40">
        <v>0</v>
      </c>
      <c r="G40">
        <v>0.5</v>
      </c>
      <c r="H40">
        <v>0</v>
      </c>
      <c r="I40">
        <v>0</v>
      </c>
      <c r="J40">
        <v>0</v>
      </c>
      <c r="K40">
        <v>0</v>
      </c>
      <c r="L40" s="1">
        <f t="shared" si="2"/>
        <v>0.15063159341538701</v>
      </c>
      <c r="M40">
        <f t="shared" si="3"/>
        <v>0.75237659498754506</v>
      </c>
    </row>
    <row r="41" spans="1:13">
      <c r="A41">
        <v>2014</v>
      </c>
      <c r="B41">
        <v>6</v>
      </c>
      <c r="C41">
        <v>4</v>
      </c>
      <c r="D41">
        <v>9</v>
      </c>
      <c r="E41">
        <v>62.66</v>
      </c>
      <c r="F41">
        <v>0.5</v>
      </c>
      <c r="G41">
        <v>0</v>
      </c>
      <c r="H41">
        <v>0</v>
      </c>
      <c r="I41">
        <v>0.5</v>
      </c>
      <c r="J41">
        <v>0</v>
      </c>
      <c r="K41">
        <v>0</v>
      </c>
      <c r="L41" s="1">
        <f t="shared" si="2"/>
        <v>0.179623322168185</v>
      </c>
      <c r="M41">
        <f t="shared" si="3"/>
        <v>0.42471997695423003</v>
      </c>
    </row>
    <row r="42" spans="1:13">
      <c r="A42">
        <v>2014</v>
      </c>
      <c r="B42">
        <v>6</v>
      </c>
      <c r="C42">
        <v>4</v>
      </c>
      <c r="D42">
        <v>10</v>
      </c>
      <c r="E42">
        <v>34.6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1">
        <f t="shared" si="2"/>
        <v>0</v>
      </c>
      <c r="M42">
        <f t="shared" si="3"/>
        <v>0.23452459627539701</v>
      </c>
    </row>
    <row r="43" spans="1:13">
      <c r="A43">
        <v>2014</v>
      </c>
      <c r="B43">
        <v>6</v>
      </c>
      <c r="C43">
        <v>4</v>
      </c>
      <c r="D43">
        <v>11</v>
      </c>
      <c r="E43">
        <v>22.1</v>
      </c>
      <c r="F43">
        <v>0.5</v>
      </c>
      <c r="G43">
        <v>0</v>
      </c>
      <c r="H43">
        <v>0</v>
      </c>
      <c r="I43">
        <v>0</v>
      </c>
      <c r="J43">
        <v>0</v>
      </c>
      <c r="K43">
        <v>0</v>
      </c>
      <c r="L43" s="1">
        <f t="shared" si="2"/>
        <v>0.114033254442995</v>
      </c>
      <c r="M43">
        <f t="shared" si="3"/>
        <v>0.149797502245268</v>
      </c>
    </row>
    <row r="44" spans="1:13">
      <c r="A44">
        <v>2014</v>
      </c>
      <c r="B44">
        <v>6</v>
      </c>
      <c r="C44">
        <v>4</v>
      </c>
      <c r="D44">
        <v>12</v>
      </c>
      <c r="E44">
        <v>21.58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1">
        <f t="shared" si="2"/>
        <v>0</v>
      </c>
      <c r="M44">
        <f t="shared" si="3"/>
        <v>0.14627285513361499</v>
      </c>
    </row>
    <row r="45" spans="1:13">
      <c r="A45">
        <v>2014</v>
      </c>
      <c r="B45">
        <v>6</v>
      </c>
      <c r="C45">
        <v>4</v>
      </c>
      <c r="D45">
        <v>13</v>
      </c>
      <c r="E45">
        <v>87.1</v>
      </c>
      <c r="F45">
        <v>0</v>
      </c>
      <c r="G45">
        <v>0</v>
      </c>
      <c r="H45">
        <v>1.17</v>
      </c>
      <c r="I45">
        <v>0</v>
      </c>
      <c r="J45">
        <v>0</v>
      </c>
      <c r="K45">
        <v>3.5</v>
      </c>
      <c r="L45" s="1">
        <f t="shared" si="2"/>
        <v>0.65814754564436995</v>
      </c>
      <c r="M45">
        <f t="shared" si="3"/>
        <v>0.59037839120193902</v>
      </c>
    </row>
    <row r="46" spans="1:13">
      <c r="A46">
        <v>2014</v>
      </c>
      <c r="B46">
        <v>6</v>
      </c>
      <c r="C46">
        <v>4</v>
      </c>
      <c r="D46">
        <v>14</v>
      </c>
      <c r="E46">
        <v>111.59</v>
      </c>
      <c r="F46">
        <v>0.5</v>
      </c>
      <c r="G46">
        <v>0</v>
      </c>
      <c r="H46">
        <v>2.33</v>
      </c>
      <c r="I46">
        <v>0</v>
      </c>
      <c r="J46">
        <v>0</v>
      </c>
      <c r="K46">
        <v>0</v>
      </c>
      <c r="L46" s="1">
        <f t="shared" si="2"/>
        <v>0.475103696548971</v>
      </c>
      <c r="M46">
        <f t="shared" si="3"/>
        <v>0.75637571382576696</v>
      </c>
    </row>
    <row r="47" spans="1:13">
      <c r="A47">
        <v>2014</v>
      </c>
      <c r="B47">
        <v>6</v>
      </c>
      <c r="C47">
        <v>4</v>
      </c>
      <c r="D47">
        <v>15</v>
      </c>
      <c r="E47">
        <v>82.56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1">
        <f t="shared" si="2"/>
        <v>0</v>
      </c>
      <c r="M47">
        <f t="shared" si="3"/>
        <v>0.55960551065019604</v>
      </c>
    </row>
    <row r="48" spans="1:13">
      <c r="A48">
        <v>2014</v>
      </c>
      <c r="B48">
        <v>6</v>
      </c>
      <c r="C48">
        <v>4</v>
      </c>
      <c r="D48">
        <v>16</v>
      </c>
      <c r="E48">
        <v>72.61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1">
        <f t="shared" si="2"/>
        <v>0</v>
      </c>
      <c r="M48">
        <f t="shared" si="3"/>
        <v>0.49216274380221298</v>
      </c>
    </row>
    <row r="49" spans="1:13">
      <c r="A49">
        <v>2014</v>
      </c>
      <c r="B49">
        <v>6</v>
      </c>
      <c r="C49">
        <v>4</v>
      </c>
      <c r="D49">
        <v>17</v>
      </c>
      <c r="E49">
        <v>96.8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 s="1">
        <f t="shared" si="2"/>
        <v>0.15496585498110599</v>
      </c>
      <c r="M49">
        <f t="shared" si="3"/>
        <v>0.656126616169319</v>
      </c>
    </row>
    <row r="50" spans="1:13">
      <c r="A50">
        <v>2014</v>
      </c>
      <c r="B50">
        <v>6</v>
      </c>
      <c r="C50">
        <v>4</v>
      </c>
      <c r="D50">
        <v>18</v>
      </c>
      <c r="E50">
        <v>109.96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1">
        <f t="shared" si="2"/>
        <v>0</v>
      </c>
      <c r="M50">
        <f t="shared" si="3"/>
        <v>0.74532730076423803</v>
      </c>
    </row>
    <row r="51" spans="1:13">
      <c r="A51">
        <v>2014</v>
      </c>
      <c r="B51">
        <v>6</v>
      </c>
      <c r="C51">
        <v>4</v>
      </c>
      <c r="D51">
        <v>19</v>
      </c>
      <c r="E51">
        <v>104.13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1">
        <f t="shared" si="2"/>
        <v>0</v>
      </c>
      <c r="M51">
        <f t="shared" si="3"/>
        <v>0.70581058410858599</v>
      </c>
    </row>
    <row r="52" spans="1:13">
      <c r="A52">
        <v>2014</v>
      </c>
      <c r="B52">
        <v>6</v>
      </c>
      <c r="C52">
        <v>4</v>
      </c>
      <c r="D52">
        <v>20</v>
      </c>
      <c r="E52">
        <v>82.66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1">
        <f t="shared" si="2"/>
        <v>0</v>
      </c>
      <c r="M52">
        <f t="shared" si="3"/>
        <v>0.56028332740243703</v>
      </c>
    </row>
    <row r="53" spans="1:13">
      <c r="A53">
        <v>2014</v>
      </c>
      <c r="B53">
        <v>6</v>
      </c>
      <c r="C53">
        <v>4</v>
      </c>
      <c r="D53">
        <v>21</v>
      </c>
      <c r="E53">
        <v>66.77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1">
        <f t="shared" si="2"/>
        <v>0</v>
      </c>
      <c r="M53">
        <f t="shared" si="3"/>
        <v>0.45257824547133702</v>
      </c>
    </row>
    <row r="54" spans="1:13">
      <c r="A54">
        <v>2014</v>
      </c>
      <c r="B54">
        <v>6</v>
      </c>
      <c r="C54">
        <v>4</v>
      </c>
      <c r="D54">
        <v>22</v>
      </c>
      <c r="E54">
        <v>71.5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1">
        <f t="shared" si="2"/>
        <v>0</v>
      </c>
      <c r="M54">
        <f t="shared" si="3"/>
        <v>0.484638977852338</v>
      </c>
    </row>
    <row r="55" spans="1:13">
      <c r="A55">
        <v>2014</v>
      </c>
      <c r="B55">
        <v>6</v>
      </c>
      <c r="C55">
        <v>4</v>
      </c>
      <c r="D55">
        <v>23</v>
      </c>
      <c r="E55">
        <v>89.6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1">
        <f t="shared" si="2"/>
        <v>0</v>
      </c>
      <c r="M55">
        <f t="shared" si="3"/>
        <v>0.60732381000796398</v>
      </c>
    </row>
    <row r="56" spans="1:13">
      <c r="A56">
        <v>2014</v>
      </c>
      <c r="B56">
        <v>6</v>
      </c>
      <c r="C56">
        <v>5</v>
      </c>
      <c r="D56">
        <v>0</v>
      </c>
      <c r="E56">
        <v>92.7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1">
        <f t="shared" si="2"/>
        <v>0</v>
      </c>
      <c r="M56">
        <f t="shared" si="3"/>
        <v>0.62833612932743599</v>
      </c>
    </row>
    <row r="57" spans="1:13">
      <c r="A57">
        <v>2014</v>
      </c>
      <c r="B57">
        <v>6</v>
      </c>
      <c r="C57">
        <v>5</v>
      </c>
      <c r="D57">
        <v>1</v>
      </c>
      <c r="E57">
        <v>82.2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1">
        <f t="shared" si="2"/>
        <v>0</v>
      </c>
      <c r="M57">
        <f t="shared" si="3"/>
        <v>0.55716537034212799</v>
      </c>
    </row>
    <row r="58" spans="1:13">
      <c r="A58">
        <v>2014</v>
      </c>
      <c r="B58">
        <v>6</v>
      </c>
      <c r="C58">
        <v>5</v>
      </c>
      <c r="D58">
        <v>2</v>
      </c>
      <c r="E58">
        <v>76.45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1">
        <f t="shared" si="2"/>
        <v>0</v>
      </c>
      <c r="M58">
        <f t="shared" si="3"/>
        <v>0.51819090708826898</v>
      </c>
    </row>
    <row r="59" spans="1:13">
      <c r="A59">
        <v>2014</v>
      </c>
      <c r="B59">
        <v>6</v>
      </c>
      <c r="C59">
        <v>5</v>
      </c>
      <c r="D59">
        <v>3</v>
      </c>
      <c r="E59">
        <v>76.28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1">
        <f t="shared" si="2"/>
        <v>0</v>
      </c>
      <c r="M59">
        <f t="shared" si="3"/>
        <v>0.51703861860945899</v>
      </c>
    </row>
    <row r="60" spans="1:13">
      <c r="A60">
        <v>2014</v>
      </c>
      <c r="B60">
        <v>6</v>
      </c>
      <c r="C60">
        <v>5</v>
      </c>
      <c r="D60">
        <v>4</v>
      </c>
      <c r="E60">
        <v>78.45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1">
        <f t="shared" si="2"/>
        <v>0</v>
      </c>
      <c r="M60">
        <f t="shared" si="3"/>
        <v>0.53174724213308899</v>
      </c>
    </row>
    <row r="61" spans="1:13">
      <c r="A61">
        <v>2014</v>
      </c>
      <c r="B61">
        <v>6</v>
      </c>
      <c r="C61">
        <v>5</v>
      </c>
      <c r="D61">
        <v>5</v>
      </c>
      <c r="E61">
        <v>78.260000000000005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1">
        <f t="shared" si="2"/>
        <v>0</v>
      </c>
      <c r="M61">
        <f t="shared" si="3"/>
        <v>0.53045939030383105</v>
      </c>
    </row>
    <row r="62" spans="1:13">
      <c r="A62">
        <v>2014</v>
      </c>
      <c r="B62">
        <v>6</v>
      </c>
      <c r="C62">
        <v>5</v>
      </c>
      <c r="D62">
        <v>6</v>
      </c>
      <c r="E62">
        <v>71.27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1">
        <f t="shared" si="2"/>
        <v>0</v>
      </c>
      <c r="M62">
        <f t="shared" si="3"/>
        <v>0.48307999932218298</v>
      </c>
    </row>
    <row r="63" spans="1:13">
      <c r="A63">
        <v>2014</v>
      </c>
      <c r="B63">
        <v>6</v>
      </c>
      <c r="C63">
        <v>5</v>
      </c>
      <c r="D63">
        <v>7</v>
      </c>
      <c r="E63">
        <v>60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1">
        <f t="shared" si="2"/>
        <v>0</v>
      </c>
      <c r="M63">
        <f t="shared" si="3"/>
        <v>0.406690051344619</v>
      </c>
    </row>
    <row r="64" spans="1:13">
      <c r="A64">
        <v>2014</v>
      </c>
      <c r="B64">
        <v>6</v>
      </c>
      <c r="C64">
        <v>5</v>
      </c>
      <c r="D64">
        <v>8</v>
      </c>
      <c r="E64">
        <v>56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1">
        <f t="shared" si="2"/>
        <v>0</v>
      </c>
      <c r="M64">
        <f t="shared" si="3"/>
        <v>0.37957738125497797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000"/>
  </sheetPr>
  <dimension ref="A1:M32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2014</v>
      </c>
      <c r="B4">
        <v>8</v>
      </c>
      <c r="C4">
        <v>14</v>
      </c>
      <c r="D4">
        <v>6</v>
      </c>
      <c r="E4">
        <v>37.700000000000003</v>
      </c>
      <c r="F4">
        <v>5</v>
      </c>
      <c r="G4">
        <v>3</v>
      </c>
      <c r="H4">
        <v>8</v>
      </c>
      <c r="I4">
        <v>3.5</v>
      </c>
      <c r="J4">
        <v>5</v>
      </c>
      <c r="K4">
        <v>0</v>
      </c>
      <c r="L4" s="1">
        <f>F4*$F$2+G4*$G$2+H4*$H$2+I4*$I$2+J4*$J$2+K4*$K$2</f>
        <v>3.9844045662255199</v>
      </c>
      <c r="M4">
        <f>E4*3600/(1000*$L$1)</f>
        <v>0.25553691559486902</v>
      </c>
    </row>
    <row r="5" spans="1:13">
      <c r="A5">
        <v>2014</v>
      </c>
      <c r="B5">
        <v>8</v>
      </c>
      <c r="C5">
        <v>14</v>
      </c>
      <c r="D5">
        <v>7</v>
      </c>
      <c r="E5">
        <v>50.94</v>
      </c>
      <c r="F5">
        <v>7.5</v>
      </c>
      <c r="G5">
        <v>6.5</v>
      </c>
      <c r="H5">
        <v>3</v>
      </c>
      <c r="I5">
        <v>10.5</v>
      </c>
      <c r="J5">
        <v>12</v>
      </c>
      <c r="K5">
        <v>9</v>
      </c>
      <c r="L5" s="1">
        <f t="shared" ref="L5:L32" si="0">F5*$F$2+G5*$G$2+H5*$H$2+I5*$I$2+J5*$J$2+K5*$K$2</f>
        <v>7.3165724313098703</v>
      </c>
      <c r="M5">
        <f t="shared" ref="M5:M32" si="1">E5*3600/(1000*$L$1)</f>
        <v>0.34527985359158198</v>
      </c>
    </row>
    <row r="6" spans="1:13">
      <c r="A6">
        <v>2014</v>
      </c>
      <c r="B6">
        <v>8</v>
      </c>
      <c r="C6">
        <v>14</v>
      </c>
      <c r="D6">
        <v>8</v>
      </c>
      <c r="E6">
        <v>62.7</v>
      </c>
      <c r="F6">
        <v>9.5</v>
      </c>
      <c r="G6">
        <v>23</v>
      </c>
      <c r="H6">
        <v>10.5</v>
      </c>
      <c r="I6">
        <v>15</v>
      </c>
      <c r="J6">
        <v>8</v>
      </c>
      <c r="K6">
        <v>5</v>
      </c>
      <c r="L6" s="1">
        <f t="shared" si="0"/>
        <v>13.7580052982676</v>
      </c>
      <c r="M6">
        <f t="shared" si="1"/>
        <v>0.42499110365512699</v>
      </c>
    </row>
    <row r="7" spans="1:13">
      <c r="A7">
        <v>2014</v>
      </c>
      <c r="B7">
        <v>8</v>
      </c>
      <c r="C7">
        <v>14</v>
      </c>
      <c r="D7">
        <v>9</v>
      </c>
      <c r="E7">
        <v>129.41</v>
      </c>
      <c r="F7">
        <v>3</v>
      </c>
      <c r="G7">
        <v>3</v>
      </c>
      <c r="H7">
        <v>8</v>
      </c>
      <c r="I7">
        <v>4</v>
      </c>
      <c r="J7">
        <v>10</v>
      </c>
      <c r="K7">
        <v>6.5</v>
      </c>
      <c r="L7" s="1">
        <f t="shared" si="0"/>
        <v>4.7208421120016899</v>
      </c>
      <c r="M7">
        <f t="shared" si="1"/>
        <v>0.87716265907511903</v>
      </c>
    </row>
    <row r="8" spans="1:13">
      <c r="A8">
        <v>2014</v>
      </c>
      <c r="B8">
        <v>8</v>
      </c>
      <c r="C8">
        <v>14</v>
      </c>
      <c r="D8">
        <v>10</v>
      </c>
      <c r="E8">
        <v>113.88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">
        <f t="shared" si="0"/>
        <v>0</v>
      </c>
      <c r="M8">
        <f t="shared" si="1"/>
        <v>0.77189771745208702</v>
      </c>
    </row>
    <row r="9" spans="1:13">
      <c r="A9">
        <v>2014</v>
      </c>
      <c r="B9">
        <v>8</v>
      </c>
      <c r="C9">
        <v>14</v>
      </c>
      <c r="D9">
        <v>11</v>
      </c>
      <c r="E9">
        <v>84.4</v>
      </c>
      <c r="F9">
        <v>0.5</v>
      </c>
      <c r="G9">
        <v>0.53</v>
      </c>
      <c r="H9">
        <v>0</v>
      </c>
      <c r="I9">
        <v>0</v>
      </c>
      <c r="J9">
        <v>0</v>
      </c>
      <c r="K9">
        <v>0</v>
      </c>
      <c r="L9" s="1">
        <f t="shared" si="0"/>
        <v>0.27370274346330498</v>
      </c>
      <c r="M9">
        <f t="shared" si="1"/>
        <v>0.57207733889143098</v>
      </c>
    </row>
    <row r="10" spans="1:13">
      <c r="A10">
        <v>2014</v>
      </c>
      <c r="B10">
        <v>8</v>
      </c>
      <c r="C10">
        <v>14</v>
      </c>
      <c r="D10">
        <v>12</v>
      </c>
      <c r="E10">
        <v>135.18</v>
      </c>
      <c r="F10">
        <v>4.5</v>
      </c>
      <c r="G10">
        <v>1.07</v>
      </c>
      <c r="H10">
        <v>0</v>
      </c>
      <c r="I10">
        <v>4</v>
      </c>
      <c r="J10">
        <v>0.33</v>
      </c>
      <c r="K10">
        <v>0</v>
      </c>
      <c r="L10" s="1">
        <f t="shared" si="0"/>
        <v>1.88930550142436</v>
      </c>
      <c r="M10">
        <f t="shared" si="1"/>
        <v>0.91627268567942699</v>
      </c>
    </row>
    <row r="11" spans="1:13">
      <c r="A11">
        <v>2014</v>
      </c>
      <c r="B11">
        <v>8</v>
      </c>
      <c r="C11">
        <v>14</v>
      </c>
      <c r="D11">
        <v>13</v>
      </c>
      <c r="E11">
        <v>118.33</v>
      </c>
      <c r="F11">
        <v>1.01</v>
      </c>
      <c r="G11">
        <v>1.6</v>
      </c>
      <c r="H11">
        <v>1.17</v>
      </c>
      <c r="I11">
        <v>6</v>
      </c>
      <c r="J11">
        <v>0.67</v>
      </c>
      <c r="K11">
        <v>10.5</v>
      </c>
      <c r="L11" s="1">
        <f t="shared" si="0"/>
        <v>3.1436225916323601</v>
      </c>
      <c r="M11">
        <f t="shared" si="1"/>
        <v>0.80206056292681305</v>
      </c>
    </row>
    <row r="12" spans="1:13">
      <c r="A12">
        <v>2014</v>
      </c>
      <c r="B12">
        <v>8</v>
      </c>
      <c r="C12">
        <v>14</v>
      </c>
      <c r="D12">
        <v>14</v>
      </c>
      <c r="E12">
        <v>133</v>
      </c>
      <c r="F12">
        <v>0.83</v>
      </c>
      <c r="G12">
        <v>2.13</v>
      </c>
      <c r="H12">
        <v>2.33</v>
      </c>
      <c r="I12">
        <v>0.5</v>
      </c>
      <c r="J12">
        <v>0</v>
      </c>
      <c r="K12">
        <v>0</v>
      </c>
      <c r="L12" s="1">
        <f t="shared" si="0"/>
        <v>1.25764630015609</v>
      </c>
      <c r="M12">
        <f t="shared" si="1"/>
        <v>0.90149628048057195</v>
      </c>
    </row>
    <row r="13" spans="1:13">
      <c r="A13">
        <v>2014</v>
      </c>
      <c r="B13">
        <v>8</v>
      </c>
      <c r="C13">
        <v>14</v>
      </c>
      <c r="D13">
        <v>15</v>
      </c>
      <c r="E13">
        <v>105</v>
      </c>
      <c r="F13">
        <v>0.66</v>
      </c>
      <c r="G13">
        <v>2.67</v>
      </c>
      <c r="H13">
        <v>0</v>
      </c>
      <c r="I13">
        <v>0</v>
      </c>
      <c r="J13">
        <v>0</v>
      </c>
      <c r="K13">
        <v>0</v>
      </c>
      <c r="L13" s="1">
        <f t="shared" si="0"/>
        <v>0.95489660470291904</v>
      </c>
      <c r="M13">
        <f t="shared" si="1"/>
        <v>0.71170758985308302</v>
      </c>
    </row>
    <row r="14" spans="1:13">
      <c r="A14">
        <v>2014</v>
      </c>
      <c r="B14">
        <v>8</v>
      </c>
      <c r="C14">
        <v>14</v>
      </c>
      <c r="D14">
        <v>16</v>
      </c>
      <c r="E14">
        <v>113.87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">
        <f t="shared" si="0"/>
        <v>0</v>
      </c>
      <c r="M14">
        <f t="shared" si="1"/>
        <v>0.77182993577686299</v>
      </c>
    </row>
    <row r="15" spans="1:13">
      <c r="A15">
        <v>2014</v>
      </c>
      <c r="B15">
        <v>8</v>
      </c>
      <c r="C15">
        <v>14</v>
      </c>
      <c r="D15">
        <v>17</v>
      </c>
      <c r="E15">
        <v>88.07</v>
      </c>
      <c r="F15">
        <v>0.5</v>
      </c>
      <c r="G15">
        <v>0</v>
      </c>
      <c r="H15">
        <v>0</v>
      </c>
      <c r="I15">
        <v>0</v>
      </c>
      <c r="J15">
        <v>0</v>
      </c>
      <c r="K15">
        <v>0</v>
      </c>
      <c r="L15" s="1">
        <f t="shared" si="0"/>
        <v>0.114033254442995</v>
      </c>
      <c r="M15">
        <f t="shared" si="1"/>
        <v>0.59695321369867704</v>
      </c>
    </row>
    <row r="16" spans="1:13">
      <c r="A16">
        <v>2014</v>
      </c>
      <c r="B16">
        <v>8</v>
      </c>
      <c r="C16">
        <v>14</v>
      </c>
      <c r="D16">
        <v>18</v>
      </c>
      <c r="E16">
        <v>84.27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f t="shared" si="0"/>
        <v>0</v>
      </c>
      <c r="M16">
        <f t="shared" si="1"/>
        <v>0.571196177113517</v>
      </c>
    </row>
    <row r="17" spans="1:13">
      <c r="A17">
        <v>2014</v>
      </c>
      <c r="B17">
        <v>8</v>
      </c>
      <c r="C17">
        <v>14</v>
      </c>
      <c r="D17">
        <v>19</v>
      </c>
      <c r="E17">
        <v>92.98</v>
      </c>
      <c r="F17">
        <v>0.83</v>
      </c>
      <c r="G17">
        <v>0</v>
      </c>
      <c r="H17">
        <v>0</v>
      </c>
      <c r="I17">
        <v>0</v>
      </c>
      <c r="J17">
        <v>0.5</v>
      </c>
      <c r="K17">
        <v>0</v>
      </c>
      <c r="L17" s="1">
        <f t="shared" si="0"/>
        <v>0.21343771711317799</v>
      </c>
      <c r="M17">
        <f t="shared" si="1"/>
        <v>0.630234016233711</v>
      </c>
    </row>
    <row r="18" spans="1:13">
      <c r="A18">
        <v>2014</v>
      </c>
      <c r="B18">
        <v>8</v>
      </c>
      <c r="C18">
        <v>14</v>
      </c>
      <c r="D18">
        <v>20</v>
      </c>
      <c r="E18">
        <v>72.63</v>
      </c>
      <c r="F18">
        <v>1.67</v>
      </c>
      <c r="G18">
        <v>0</v>
      </c>
      <c r="H18">
        <v>0.5</v>
      </c>
      <c r="I18">
        <v>0</v>
      </c>
      <c r="J18">
        <v>0</v>
      </c>
      <c r="K18">
        <v>0</v>
      </c>
      <c r="L18" s="1">
        <f t="shared" si="0"/>
        <v>0.45835399733015503</v>
      </c>
      <c r="M18">
        <f t="shared" si="1"/>
        <v>0.49229830715266099</v>
      </c>
    </row>
    <row r="19" spans="1:13">
      <c r="A19">
        <v>2014</v>
      </c>
      <c r="B19">
        <v>8</v>
      </c>
      <c r="C19">
        <v>14</v>
      </c>
      <c r="D19">
        <v>21</v>
      </c>
      <c r="E19">
        <v>65.680000000000007</v>
      </c>
      <c r="F19">
        <v>0</v>
      </c>
      <c r="G19">
        <v>0.5</v>
      </c>
      <c r="H19">
        <v>8</v>
      </c>
      <c r="I19">
        <v>0</v>
      </c>
      <c r="J19">
        <v>6</v>
      </c>
      <c r="K19">
        <v>0</v>
      </c>
      <c r="L19" s="1">
        <f t="shared" si="0"/>
        <v>1.6800686101179201</v>
      </c>
      <c r="M19">
        <f t="shared" si="1"/>
        <v>0.44519004287191</v>
      </c>
    </row>
    <row r="20" spans="1:13">
      <c r="A20">
        <v>2014</v>
      </c>
      <c r="B20">
        <v>8</v>
      </c>
      <c r="C20">
        <v>14</v>
      </c>
      <c r="D20">
        <v>22</v>
      </c>
      <c r="E20">
        <v>87.11</v>
      </c>
      <c r="F20">
        <v>0.5</v>
      </c>
      <c r="G20">
        <v>0</v>
      </c>
      <c r="H20">
        <v>0</v>
      </c>
      <c r="I20">
        <v>0</v>
      </c>
      <c r="J20">
        <v>0</v>
      </c>
      <c r="K20">
        <v>0.5</v>
      </c>
      <c r="L20" s="1">
        <f t="shared" si="0"/>
        <v>0.18215289663106199</v>
      </c>
      <c r="M20">
        <f t="shared" si="1"/>
        <v>0.59044617287716294</v>
      </c>
    </row>
    <row r="21" spans="1:13">
      <c r="A21">
        <v>2014</v>
      </c>
      <c r="B21">
        <v>8</v>
      </c>
      <c r="C21">
        <v>14</v>
      </c>
      <c r="D21">
        <v>23</v>
      </c>
      <c r="E21">
        <v>66.430000000000007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f t="shared" si="0"/>
        <v>0</v>
      </c>
      <c r="M21">
        <f t="shared" si="1"/>
        <v>0.45027366851371697</v>
      </c>
    </row>
    <row r="22" spans="1:13">
      <c r="A22">
        <v>2014</v>
      </c>
      <c r="B22">
        <v>8</v>
      </c>
      <c r="C22">
        <v>15</v>
      </c>
      <c r="D22">
        <v>0</v>
      </c>
      <c r="E22">
        <v>52.61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f t="shared" si="0"/>
        <v>0</v>
      </c>
      <c r="M22">
        <f t="shared" si="1"/>
        <v>0.35659939335400698</v>
      </c>
    </row>
    <row r="23" spans="1:13">
      <c r="A23">
        <v>2014</v>
      </c>
      <c r="B23">
        <v>8</v>
      </c>
      <c r="C23">
        <v>15</v>
      </c>
      <c r="D23">
        <v>1</v>
      </c>
      <c r="E23">
        <v>50.39</v>
      </c>
      <c r="F23">
        <v>0.2</v>
      </c>
      <c r="G23">
        <v>0</v>
      </c>
      <c r="H23">
        <v>0</v>
      </c>
      <c r="I23">
        <v>0</v>
      </c>
      <c r="J23">
        <v>0</v>
      </c>
      <c r="K23">
        <v>0</v>
      </c>
      <c r="L23" s="1">
        <f t="shared" si="0"/>
        <v>4.5613301777197801E-2</v>
      </c>
      <c r="M23">
        <f t="shared" si="1"/>
        <v>0.34155186145425598</v>
      </c>
    </row>
    <row r="24" spans="1:13">
      <c r="A24">
        <v>2014</v>
      </c>
      <c r="B24">
        <v>8</v>
      </c>
      <c r="C24">
        <v>15</v>
      </c>
      <c r="D24">
        <v>2</v>
      </c>
      <c r="E24">
        <v>55.24</v>
      </c>
      <c r="F24">
        <v>0.4</v>
      </c>
      <c r="G24">
        <v>0</v>
      </c>
      <c r="H24">
        <v>0</v>
      </c>
      <c r="I24">
        <v>0</v>
      </c>
      <c r="J24">
        <v>0</v>
      </c>
      <c r="K24">
        <v>0</v>
      </c>
      <c r="L24" s="1">
        <f t="shared" si="0"/>
        <v>9.1226603554395602E-2</v>
      </c>
      <c r="M24">
        <f t="shared" si="1"/>
        <v>0.37442597393794602</v>
      </c>
    </row>
    <row r="25" spans="1:13">
      <c r="A25">
        <v>2014</v>
      </c>
      <c r="B25">
        <v>8</v>
      </c>
      <c r="C25">
        <v>15</v>
      </c>
      <c r="D25">
        <v>3</v>
      </c>
      <c r="E25">
        <v>62.29</v>
      </c>
      <c r="F25">
        <v>0.6</v>
      </c>
      <c r="G25">
        <v>0</v>
      </c>
      <c r="H25">
        <v>0</v>
      </c>
      <c r="I25">
        <v>0</v>
      </c>
      <c r="J25">
        <v>0</v>
      </c>
      <c r="K25">
        <v>0</v>
      </c>
      <c r="L25" s="1">
        <f t="shared" si="0"/>
        <v>0.13683990533159299</v>
      </c>
      <c r="M25">
        <f t="shared" si="1"/>
        <v>0.422212054970939</v>
      </c>
    </row>
    <row r="26" spans="1:13">
      <c r="A26">
        <v>2014</v>
      </c>
      <c r="B26">
        <v>8</v>
      </c>
      <c r="C26">
        <v>15</v>
      </c>
      <c r="D26">
        <v>4</v>
      </c>
      <c r="E26">
        <v>66.709999999999994</v>
      </c>
      <c r="F26">
        <v>0.8</v>
      </c>
      <c r="G26">
        <v>0</v>
      </c>
      <c r="H26">
        <v>0</v>
      </c>
      <c r="I26">
        <v>0</v>
      </c>
      <c r="J26">
        <v>0</v>
      </c>
      <c r="K26">
        <v>0</v>
      </c>
      <c r="L26" s="1">
        <f t="shared" si="0"/>
        <v>0.18245320710879101</v>
      </c>
      <c r="M26">
        <f t="shared" si="1"/>
        <v>0.45217155541999199</v>
      </c>
    </row>
    <row r="27" spans="1:13">
      <c r="A27">
        <v>2014</v>
      </c>
      <c r="B27">
        <v>8</v>
      </c>
      <c r="C27">
        <v>15</v>
      </c>
      <c r="D27">
        <v>5</v>
      </c>
      <c r="E27">
        <v>64.2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f t="shared" si="0"/>
        <v>0</v>
      </c>
      <c r="M27">
        <f t="shared" si="1"/>
        <v>0.435158354938742</v>
      </c>
    </row>
    <row r="28" spans="1:13">
      <c r="A28">
        <v>2014</v>
      </c>
      <c r="B28">
        <v>8</v>
      </c>
      <c r="C28">
        <v>15</v>
      </c>
      <c r="D28">
        <v>6</v>
      </c>
      <c r="E28">
        <v>56.05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f t="shared" si="0"/>
        <v>0</v>
      </c>
      <c r="M28">
        <f t="shared" si="1"/>
        <v>0.37991628963109803</v>
      </c>
    </row>
    <row r="29" spans="1:13">
      <c r="A29">
        <v>2014</v>
      </c>
      <c r="B29">
        <v>8</v>
      </c>
      <c r="C29">
        <v>15</v>
      </c>
      <c r="D29">
        <v>7</v>
      </c>
      <c r="E29">
        <v>46.87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f t="shared" si="0"/>
        <v>0</v>
      </c>
      <c r="M29">
        <f t="shared" si="1"/>
        <v>0.31769271177537201</v>
      </c>
    </row>
    <row r="30" spans="1:13">
      <c r="A30">
        <v>2014</v>
      </c>
      <c r="B30">
        <v>8</v>
      </c>
      <c r="C30">
        <v>15</v>
      </c>
      <c r="D30">
        <v>8</v>
      </c>
      <c r="E30">
        <v>41.3</v>
      </c>
      <c r="F30">
        <v>0.5</v>
      </c>
      <c r="G30">
        <v>0</v>
      </c>
      <c r="H30">
        <v>0</v>
      </c>
      <c r="I30">
        <v>0</v>
      </c>
      <c r="J30">
        <v>0</v>
      </c>
      <c r="K30">
        <v>0</v>
      </c>
      <c r="L30" s="1">
        <f t="shared" si="0"/>
        <v>0.114033254442995</v>
      </c>
      <c r="M30">
        <f t="shared" si="1"/>
        <v>0.27993831867554603</v>
      </c>
    </row>
    <row r="31" spans="1:13">
      <c r="A31">
        <v>2014</v>
      </c>
      <c r="B31">
        <v>8</v>
      </c>
      <c r="C31">
        <v>15</v>
      </c>
      <c r="D31">
        <v>9</v>
      </c>
      <c r="E31">
        <v>38.4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f t="shared" si="0"/>
        <v>0</v>
      </c>
      <c r="M31">
        <f t="shared" si="1"/>
        <v>0.260281632860556</v>
      </c>
    </row>
    <row r="32" spans="1:13">
      <c r="A32">
        <v>2014</v>
      </c>
      <c r="B32">
        <v>8</v>
      </c>
      <c r="C32">
        <v>15</v>
      </c>
      <c r="D32">
        <v>10</v>
      </c>
      <c r="E32">
        <v>14.84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s="1">
        <f t="shared" si="0"/>
        <v>0</v>
      </c>
      <c r="M32">
        <f t="shared" si="1"/>
        <v>0.100588006032569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000"/>
  </sheetPr>
  <dimension ref="A1:M36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2015</v>
      </c>
      <c r="B4">
        <v>5</v>
      </c>
      <c r="C4">
        <v>9</v>
      </c>
      <c r="D4">
        <v>5</v>
      </c>
      <c r="E4">
        <v>55.25</v>
      </c>
      <c r="F4">
        <v>2</v>
      </c>
      <c r="G4">
        <v>0.5</v>
      </c>
      <c r="H4">
        <v>0.83</v>
      </c>
      <c r="I4">
        <v>0.6</v>
      </c>
      <c r="J4">
        <v>0.45</v>
      </c>
      <c r="K4">
        <v>0</v>
      </c>
      <c r="L4" s="1">
        <f>F4*$F$2+G4*$G$2+H4*$H$2+I4*$I$2+J4*$J$2+K4*$K$2</f>
        <v>0.83582261535593805</v>
      </c>
      <c r="M4">
        <f>E4*3600/(1000*$L$1)</f>
        <v>0.37449375561317</v>
      </c>
    </row>
    <row r="5" spans="1:13">
      <c r="A5">
        <v>2015</v>
      </c>
      <c r="B5">
        <v>5</v>
      </c>
      <c r="C5">
        <v>9</v>
      </c>
      <c r="D5">
        <v>6</v>
      </c>
      <c r="E5">
        <v>54.79</v>
      </c>
      <c r="F5">
        <v>4.5</v>
      </c>
      <c r="G5">
        <v>4</v>
      </c>
      <c r="H5">
        <v>1.67</v>
      </c>
      <c r="I5">
        <v>1.2</v>
      </c>
      <c r="J5">
        <v>0.9</v>
      </c>
      <c r="K5">
        <v>0.42</v>
      </c>
      <c r="L5" s="1">
        <f t="shared" ref="L5:L36" si="0">F5*$F$2+G5*$G$2+H5*$H$2+I5*$I$2+J5*$J$2+K5*$K$2</f>
        <v>2.7482382036349802</v>
      </c>
      <c r="M5">
        <f t="shared" ref="M5:M36" si="1">E5*3600/(1000*$L$1)</f>
        <v>0.37137579855286101</v>
      </c>
    </row>
    <row r="6" spans="1:13">
      <c r="A6">
        <v>2015</v>
      </c>
      <c r="B6">
        <v>5</v>
      </c>
      <c r="C6">
        <v>9</v>
      </c>
      <c r="D6">
        <v>7</v>
      </c>
      <c r="E6">
        <v>82.7</v>
      </c>
      <c r="F6">
        <v>4</v>
      </c>
      <c r="G6">
        <v>1</v>
      </c>
      <c r="H6">
        <v>9.5</v>
      </c>
      <c r="I6">
        <v>1.8</v>
      </c>
      <c r="J6">
        <v>1.35</v>
      </c>
      <c r="K6">
        <v>0.83</v>
      </c>
      <c r="L6" s="1">
        <f t="shared" si="0"/>
        <v>3.1000924843301898</v>
      </c>
      <c r="M6">
        <f t="shared" si="1"/>
        <v>0.56055445410333304</v>
      </c>
    </row>
    <row r="7" spans="1:13">
      <c r="A7">
        <v>2015</v>
      </c>
      <c r="B7">
        <v>5</v>
      </c>
      <c r="C7">
        <v>9</v>
      </c>
      <c r="D7">
        <v>8</v>
      </c>
      <c r="E7">
        <v>74.8</v>
      </c>
      <c r="F7">
        <v>3.5</v>
      </c>
      <c r="G7">
        <v>5</v>
      </c>
      <c r="H7">
        <v>11</v>
      </c>
      <c r="I7">
        <v>2.4</v>
      </c>
      <c r="J7">
        <v>1.8</v>
      </c>
      <c r="K7">
        <v>1.25</v>
      </c>
      <c r="L7" s="1">
        <f t="shared" si="0"/>
        <v>4.5812176036541903</v>
      </c>
      <c r="M7">
        <f t="shared" si="1"/>
        <v>0.50700693067629199</v>
      </c>
    </row>
    <row r="8" spans="1:13">
      <c r="A8">
        <v>2015</v>
      </c>
      <c r="B8">
        <v>5</v>
      </c>
      <c r="C8">
        <v>9</v>
      </c>
      <c r="D8">
        <v>9</v>
      </c>
      <c r="E8">
        <v>65.25</v>
      </c>
      <c r="F8">
        <v>4</v>
      </c>
      <c r="G8">
        <v>4.5</v>
      </c>
      <c r="H8">
        <v>1.5</v>
      </c>
      <c r="I8">
        <v>7.5</v>
      </c>
      <c r="J8">
        <v>2</v>
      </c>
      <c r="K8">
        <v>1.79</v>
      </c>
      <c r="L8" s="1">
        <f t="shared" si="0"/>
        <v>3.82468855261647</v>
      </c>
      <c r="M8">
        <f t="shared" si="1"/>
        <v>0.442275430837273</v>
      </c>
    </row>
    <row r="9" spans="1:13">
      <c r="A9">
        <v>2015</v>
      </c>
      <c r="B9">
        <v>5</v>
      </c>
      <c r="C9">
        <v>9</v>
      </c>
      <c r="D9">
        <v>10</v>
      </c>
      <c r="E9">
        <v>54.8</v>
      </c>
      <c r="F9">
        <v>0</v>
      </c>
      <c r="G9">
        <v>14</v>
      </c>
      <c r="H9">
        <v>5.5</v>
      </c>
      <c r="I9">
        <v>3</v>
      </c>
      <c r="J9">
        <v>4</v>
      </c>
      <c r="K9">
        <v>2.21</v>
      </c>
      <c r="L9" s="1">
        <f t="shared" si="0"/>
        <v>5.9577661607517802</v>
      </c>
      <c r="M9">
        <f t="shared" si="1"/>
        <v>0.37144358022808499</v>
      </c>
    </row>
    <row r="10" spans="1:13">
      <c r="A10">
        <v>2015</v>
      </c>
      <c r="B10">
        <v>5</v>
      </c>
      <c r="C10">
        <v>9</v>
      </c>
      <c r="D10">
        <v>11</v>
      </c>
      <c r="E10">
        <v>52.46</v>
      </c>
      <c r="F10">
        <v>5.5</v>
      </c>
      <c r="G10">
        <v>16.5</v>
      </c>
      <c r="H10">
        <v>29</v>
      </c>
      <c r="I10">
        <v>10.5</v>
      </c>
      <c r="J10">
        <v>9.5</v>
      </c>
      <c r="K10">
        <v>3.5</v>
      </c>
      <c r="L10" s="1">
        <f t="shared" si="0"/>
        <v>13.0321548735966</v>
      </c>
      <c r="M10">
        <f t="shared" si="1"/>
        <v>0.35558266822564499</v>
      </c>
    </row>
    <row r="11" spans="1:13">
      <c r="A11">
        <v>2015</v>
      </c>
      <c r="B11">
        <v>5</v>
      </c>
      <c r="C11">
        <v>9</v>
      </c>
      <c r="D11">
        <v>12</v>
      </c>
      <c r="E11">
        <v>73.7</v>
      </c>
      <c r="F11">
        <v>0</v>
      </c>
      <c r="G11">
        <v>0</v>
      </c>
      <c r="H11">
        <v>0</v>
      </c>
      <c r="I11">
        <v>1.62</v>
      </c>
      <c r="J11">
        <v>0.5</v>
      </c>
      <c r="K11">
        <v>0</v>
      </c>
      <c r="L11" s="1">
        <f t="shared" si="0"/>
        <v>0.23665433416742501</v>
      </c>
      <c r="M11">
        <f t="shared" si="1"/>
        <v>0.49955094640163999</v>
      </c>
    </row>
    <row r="12" spans="1:13">
      <c r="A12">
        <v>2015</v>
      </c>
      <c r="B12">
        <v>5</v>
      </c>
      <c r="C12">
        <v>9</v>
      </c>
      <c r="D12">
        <v>13</v>
      </c>
      <c r="E12">
        <v>79.2</v>
      </c>
      <c r="F12">
        <v>0.7</v>
      </c>
      <c r="G12">
        <v>0.83</v>
      </c>
      <c r="H12">
        <v>0.43</v>
      </c>
      <c r="I12">
        <v>1.37</v>
      </c>
      <c r="J12">
        <v>0</v>
      </c>
      <c r="K12">
        <v>1</v>
      </c>
      <c r="L12" s="1">
        <f t="shared" si="0"/>
        <v>0.79228638887476799</v>
      </c>
      <c r="M12">
        <f t="shared" si="1"/>
        <v>0.53683086777489697</v>
      </c>
    </row>
    <row r="13" spans="1:13">
      <c r="A13">
        <v>2015</v>
      </c>
      <c r="B13">
        <v>5</v>
      </c>
      <c r="C13">
        <v>9</v>
      </c>
      <c r="D13">
        <v>14</v>
      </c>
      <c r="E13">
        <v>196.68</v>
      </c>
      <c r="F13">
        <v>1.4</v>
      </c>
      <c r="G13">
        <v>1.67</v>
      </c>
      <c r="H13">
        <v>0.87</v>
      </c>
      <c r="I13">
        <v>1.1299999999999999</v>
      </c>
      <c r="J13">
        <v>1.5</v>
      </c>
      <c r="K13">
        <v>2</v>
      </c>
      <c r="L13" s="1">
        <f t="shared" si="0"/>
        <v>1.4503625943059599</v>
      </c>
      <c r="M13">
        <f t="shared" si="1"/>
        <v>1.3331299883076599</v>
      </c>
    </row>
    <row r="14" spans="1:13">
      <c r="A14">
        <v>2015</v>
      </c>
      <c r="B14">
        <v>5</v>
      </c>
      <c r="C14">
        <v>9</v>
      </c>
      <c r="D14">
        <v>15</v>
      </c>
      <c r="E14">
        <v>176.39</v>
      </c>
      <c r="F14">
        <v>2.1</v>
      </c>
      <c r="G14">
        <v>2.5</v>
      </c>
      <c r="H14">
        <v>1.3</v>
      </c>
      <c r="I14">
        <v>0.88</v>
      </c>
      <c r="J14">
        <v>0</v>
      </c>
      <c r="K14">
        <v>0</v>
      </c>
      <c r="L14" s="1">
        <f t="shared" si="0"/>
        <v>1.54899176640928</v>
      </c>
      <c r="M14">
        <f t="shared" si="1"/>
        <v>1.1956009692779599</v>
      </c>
    </row>
    <row r="15" spans="1:13">
      <c r="A15">
        <v>2015</v>
      </c>
      <c r="B15">
        <v>5</v>
      </c>
      <c r="C15">
        <v>9</v>
      </c>
      <c r="D15">
        <v>16</v>
      </c>
      <c r="E15">
        <v>163.93</v>
      </c>
      <c r="F15">
        <v>2.8</v>
      </c>
      <c r="G15">
        <v>0</v>
      </c>
      <c r="H15">
        <v>1.73</v>
      </c>
      <c r="I15">
        <v>0</v>
      </c>
      <c r="J15">
        <v>0.57999999999999996</v>
      </c>
      <c r="K15">
        <v>0</v>
      </c>
      <c r="L15" s="1">
        <f t="shared" si="0"/>
        <v>0.93468247109393898</v>
      </c>
      <c r="M15">
        <f t="shared" si="1"/>
        <v>1.1111450019487199</v>
      </c>
    </row>
    <row r="16" spans="1:13">
      <c r="A16">
        <v>2015</v>
      </c>
      <c r="B16">
        <v>5</v>
      </c>
      <c r="C16">
        <v>9</v>
      </c>
      <c r="D16">
        <v>17</v>
      </c>
      <c r="E16">
        <v>160.41999999999999</v>
      </c>
      <c r="F16">
        <v>5</v>
      </c>
      <c r="G16">
        <v>0.83</v>
      </c>
      <c r="H16">
        <v>2.17</v>
      </c>
      <c r="I16">
        <v>3.5</v>
      </c>
      <c r="J16">
        <v>1.17</v>
      </c>
      <c r="K16">
        <v>3</v>
      </c>
      <c r="L16" s="1">
        <f t="shared" si="0"/>
        <v>2.6509987064997</v>
      </c>
      <c r="M16">
        <f t="shared" si="1"/>
        <v>1.08735363394506</v>
      </c>
    </row>
    <row r="17" spans="1:13">
      <c r="A17">
        <v>2015</v>
      </c>
      <c r="B17">
        <v>5</v>
      </c>
      <c r="C17">
        <v>9</v>
      </c>
      <c r="D17">
        <v>18</v>
      </c>
      <c r="E17">
        <v>127</v>
      </c>
      <c r="F17">
        <v>2</v>
      </c>
      <c r="G17">
        <v>1.67</v>
      </c>
      <c r="H17">
        <v>0</v>
      </c>
      <c r="I17">
        <v>0.5</v>
      </c>
      <c r="J17">
        <v>1.75</v>
      </c>
      <c r="K17">
        <v>1.69</v>
      </c>
      <c r="L17" s="1">
        <f t="shared" si="0"/>
        <v>1.3395757996825599</v>
      </c>
      <c r="M17">
        <f t="shared" si="1"/>
        <v>0.86082727534611003</v>
      </c>
    </row>
    <row r="18" spans="1:13">
      <c r="A18">
        <v>2015</v>
      </c>
      <c r="B18">
        <v>5</v>
      </c>
      <c r="C18">
        <v>9</v>
      </c>
      <c r="D18">
        <v>19</v>
      </c>
      <c r="E18">
        <v>98.8</v>
      </c>
      <c r="F18">
        <v>0</v>
      </c>
      <c r="G18">
        <v>0</v>
      </c>
      <c r="H18">
        <v>0.5</v>
      </c>
      <c r="I18">
        <v>0</v>
      </c>
      <c r="J18">
        <v>0</v>
      </c>
      <c r="K18">
        <v>1.81</v>
      </c>
      <c r="L18" s="1">
        <f t="shared" si="0"/>
        <v>0.324076032211359</v>
      </c>
      <c r="M18">
        <f t="shared" si="1"/>
        <v>0.66968295121413901</v>
      </c>
    </row>
    <row r="19" spans="1:13">
      <c r="A19">
        <v>2015</v>
      </c>
      <c r="B19">
        <v>5</v>
      </c>
      <c r="C19">
        <v>9</v>
      </c>
      <c r="D19">
        <v>20</v>
      </c>
      <c r="E19">
        <v>87.65</v>
      </c>
      <c r="F19">
        <v>0.5</v>
      </c>
      <c r="G19">
        <v>0</v>
      </c>
      <c r="H19">
        <v>0</v>
      </c>
      <c r="I19">
        <v>0</v>
      </c>
      <c r="J19">
        <v>0</v>
      </c>
      <c r="K19">
        <v>0</v>
      </c>
      <c r="L19" s="1">
        <f t="shared" si="0"/>
        <v>0.114033254442995</v>
      </c>
      <c r="M19">
        <f t="shared" si="1"/>
        <v>0.59410638333926402</v>
      </c>
    </row>
    <row r="20" spans="1:13">
      <c r="A20">
        <v>2015</v>
      </c>
      <c r="B20">
        <v>5</v>
      </c>
      <c r="C20">
        <v>9</v>
      </c>
      <c r="D20">
        <v>21</v>
      </c>
      <c r="E20">
        <v>90.41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f t="shared" si="0"/>
        <v>0</v>
      </c>
      <c r="M20">
        <f t="shared" si="1"/>
        <v>0.61281412570111704</v>
      </c>
    </row>
    <row r="21" spans="1:13">
      <c r="A21">
        <v>2015</v>
      </c>
      <c r="B21">
        <v>5</v>
      </c>
      <c r="C21">
        <v>9</v>
      </c>
      <c r="D21">
        <v>22</v>
      </c>
      <c r="E21">
        <v>89.57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f t="shared" si="0"/>
        <v>0</v>
      </c>
      <c r="M21">
        <f t="shared" si="1"/>
        <v>0.607120464982292</v>
      </c>
    </row>
    <row r="22" spans="1:13">
      <c r="A22">
        <v>2015</v>
      </c>
      <c r="B22">
        <v>5</v>
      </c>
      <c r="C22">
        <v>9</v>
      </c>
      <c r="D22">
        <v>23</v>
      </c>
      <c r="E22">
        <v>79.2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f t="shared" si="0"/>
        <v>0</v>
      </c>
      <c r="M22">
        <f t="shared" si="1"/>
        <v>0.53683086777489697</v>
      </c>
    </row>
    <row r="23" spans="1:13">
      <c r="A23">
        <v>2015</v>
      </c>
      <c r="B23">
        <v>5</v>
      </c>
      <c r="C23">
        <v>10</v>
      </c>
      <c r="D23">
        <v>0</v>
      </c>
      <c r="E23">
        <v>74.8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1">
        <f t="shared" si="0"/>
        <v>0</v>
      </c>
      <c r="M23">
        <f t="shared" si="1"/>
        <v>0.50700693067629199</v>
      </c>
    </row>
    <row r="24" spans="1:13">
      <c r="A24">
        <v>2015</v>
      </c>
      <c r="B24">
        <v>5</v>
      </c>
      <c r="C24">
        <v>10</v>
      </c>
      <c r="D24">
        <v>1</v>
      </c>
      <c r="E24">
        <v>75.319999999999993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1">
        <f t="shared" si="0"/>
        <v>0</v>
      </c>
      <c r="M24">
        <f t="shared" si="1"/>
        <v>0.510531577787945</v>
      </c>
    </row>
    <row r="25" spans="1:13">
      <c r="A25">
        <v>2015</v>
      </c>
      <c r="B25">
        <v>5</v>
      </c>
      <c r="C25">
        <v>10</v>
      </c>
      <c r="D25">
        <v>2</v>
      </c>
      <c r="E25">
        <v>76.66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f t="shared" si="0"/>
        <v>0</v>
      </c>
      <c r="M25">
        <f t="shared" si="1"/>
        <v>0.51961432226797499</v>
      </c>
    </row>
    <row r="26" spans="1:13">
      <c r="A26">
        <v>2015</v>
      </c>
      <c r="B26">
        <v>5</v>
      </c>
      <c r="C26">
        <v>10</v>
      </c>
      <c r="D26">
        <v>3</v>
      </c>
      <c r="E26">
        <v>75.89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f t="shared" si="0"/>
        <v>0</v>
      </c>
      <c r="M26">
        <f t="shared" si="1"/>
        <v>0.51439513327571895</v>
      </c>
    </row>
    <row r="27" spans="1:13">
      <c r="A27">
        <v>2015</v>
      </c>
      <c r="B27">
        <v>5</v>
      </c>
      <c r="C27">
        <v>10</v>
      </c>
      <c r="D27">
        <v>4</v>
      </c>
      <c r="E27">
        <v>70.760000000000005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f t="shared" si="0"/>
        <v>0</v>
      </c>
      <c r="M27">
        <f t="shared" si="1"/>
        <v>0.479623133885754</v>
      </c>
    </row>
    <row r="28" spans="1:13">
      <c r="A28">
        <v>2015</v>
      </c>
      <c r="B28">
        <v>5</v>
      </c>
      <c r="C28">
        <v>10</v>
      </c>
      <c r="D28">
        <v>5</v>
      </c>
      <c r="E28">
        <v>66.37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f t="shared" si="0"/>
        <v>0</v>
      </c>
      <c r="M28">
        <f t="shared" si="1"/>
        <v>0.449866978462373</v>
      </c>
    </row>
    <row r="29" spans="1:13">
      <c r="A29">
        <v>2015</v>
      </c>
      <c r="B29">
        <v>5</v>
      </c>
      <c r="C29">
        <v>10</v>
      </c>
      <c r="D29">
        <v>6</v>
      </c>
      <c r="E29">
        <v>69.36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f t="shared" si="0"/>
        <v>0</v>
      </c>
      <c r="M29">
        <f t="shared" si="1"/>
        <v>0.47013369935437999</v>
      </c>
    </row>
    <row r="30" spans="1:13">
      <c r="A30">
        <v>2015</v>
      </c>
      <c r="B30">
        <v>5</v>
      </c>
      <c r="C30">
        <v>10</v>
      </c>
      <c r="D30">
        <v>7</v>
      </c>
      <c r="E30">
        <v>64.44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s="1">
        <f t="shared" si="0"/>
        <v>0</v>
      </c>
      <c r="M30">
        <f t="shared" si="1"/>
        <v>0.43678511514412099</v>
      </c>
    </row>
    <row r="31" spans="1:13">
      <c r="A31">
        <v>2015</v>
      </c>
      <c r="B31">
        <v>5</v>
      </c>
      <c r="C31">
        <v>10</v>
      </c>
      <c r="D31">
        <v>8</v>
      </c>
      <c r="E31">
        <v>54.8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f t="shared" si="0"/>
        <v>0</v>
      </c>
      <c r="M31">
        <f t="shared" si="1"/>
        <v>0.37144358022808499</v>
      </c>
    </row>
    <row r="32" spans="1:13">
      <c r="A32">
        <v>2015</v>
      </c>
      <c r="B32">
        <v>5</v>
      </c>
      <c r="C32">
        <v>10</v>
      </c>
      <c r="D32">
        <v>9</v>
      </c>
      <c r="E32">
        <v>51.17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s="1">
        <f t="shared" si="0"/>
        <v>0</v>
      </c>
      <c r="M32">
        <f t="shared" si="1"/>
        <v>0.346838832121736</v>
      </c>
    </row>
    <row r="33" spans="1:13">
      <c r="A33">
        <v>2015</v>
      </c>
      <c r="B33">
        <v>5</v>
      </c>
      <c r="C33">
        <v>10</v>
      </c>
      <c r="D33">
        <v>10</v>
      </c>
      <c r="E33">
        <v>48.43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">
        <f t="shared" si="0"/>
        <v>0</v>
      </c>
      <c r="M33">
        <f t="shared" si="1"/>
        <v>0.32826665311033199</v>
      </c>
    </row>
    <row r="34" spans="1:13">
      <c r="A34">
        <v>2015</v>
      </c>
      <c r="B34">
        <v>5</v>
      </c>
      <c r="C34">
        <v>10</v>
      </c>
      <c r="D34">
        <v>11</v>
      </c>
      <c r="E34">
        <v>54.5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1">
        <f t="shared" si="0"/>
        <v>0</v>
      </c>
      <c r="M34">
        <f t="shared" si="1"/>
        <v>0.36941012997136202</v>
      </c>
    </row>
    <row r="35" spans="1:13">
      <c r="A35">
        <v>2015</v>
      </c>
      <c r="B35">
        <v>5</v>
      </c>
      <c r="C35">
        <v>10</v>
      </c>
      <c r="D35">
        <v>12</v>
      </c>
      <c r="E35">
        <v>41.24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1">
        <f t="shared" si="0"/>
        <v>0</v>
      </c>
      <c r="M35">
        <f t="shared" si="1"/>
        <v>0.279531628624201</v>
      </c>
    </row>
    <row r="36" spans="1:13">
      <c r="A36">
        <v>2015</v>
      </c>
      <c r="B36">
        <v>5</v>
      </c>
      <c r="C36">
        <v>10</v>
      </c>
      <c r="D36">
        <v>13</v>
      </c>
      <c r="E36">
        <v>34.840000000000003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1">
        <f t="shared" si="0"/>
        <v>0</v>
      </c>
      <c r="M36">
        <f t="shared" si="1"/>
        <v>0.23615135648077501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000"/>
  </sheetPr>
  <dimension ref="A1:M133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2015</v>
      </c>
      <c r="B4">
        <v>5</v>
      </c>
      <c r="C4">
        <v>22</v>
      </c>
      <c r="D4">
        <v>7</v>
      </c>
      <c r="E4">
        <v>58.7</v>
      </c>
      <c r="F4">
        <v>2.2599999999999998</v>
      </c>
      <c r="G4">
        <v>1.57</v>
      </c>
      <c r="H4">
        <v>1.1399999999999999</v>
      </c>
      <c r="I4">
        <v>6</v>
      </c>
      <c r="J4">
        <v>11</v>
      </c>
      <c r="K4">
        <v>3</v>
      </c>
      <c r="L4" s="1">
        <f>F4*$F$2+G4*$G$2+H4*$H$2+I4*$I$2+J4*$J$2+K4*$K$2</f>
        <v>2.89200857814757</v>
      </c>
      <c r="M4">
        <f>E4*3600/(1000*$L$1)</f>
        <v>0.39787843356548602</v>
      </c>
    </row>
    <row r="5" spans="1:13">
      <c r="A5">
        <v>2015</v>
      </c>
      <c r="B5">
        <v>5</v>
      </c>
      <c r="C5">
        <v>22</v>
      </c>
      <c r="D5">
        <v>8</v>
      </c>
      <c r="E5">
        <v>58.7</v>
      </c>
      <c r="F5">
        <v>2.71</v>
      </c>
      <c r="G5">
        <v>0.93</v>
      </c>
      <c r="H5">
        <v>0</v>
      </c>
      <c r="I5">
        <v>0</v>
      </c>
      <c r="J5">
        <v>1</v>
      </c>
      <c r="K5">
        <v>2</v>
      </c>
      <c r="L5" s="1">
        <f t="shared" ref="L5:L36" si="0">F5*$F$2+G5*$G$2+H5*$H$2+I5*$I$2+J5*$J$2+K5*$K$2</f>
        <v>1.2189986010615399</v>
      </c>
      <c r="M5">
        <f t="shared" ref="M5:M36" si="1">E5*3600/(1000*$L$1)</f>
        <v>0.39787843356548602</v>
      </c>
    </row>
    <row r="6" spans="1:13">
      <c r="A6">
        <v>2015</v>
      </c>
      <c r="B6">
        <v>5</v>
      </c>
      <c r="C6">
        <v>22</v>
      </c>
      <c r="D6">
        <v>9</v>
      </c>
      <c r="E6">
        <v>63.26</v>
      </c>
      <c r="F6">
        <v>0.84</v>
      </c>
      <c r="G6">
        <v>0</v>
      </c>
      <c r="H6">
        <v>0</v>
      </c>
      <c r="I6">
        <v>0</v>
      </c>
      <c r="J6">
        <v>0</v>
      </c>
      <c r="K6">
        <v>0.5</v>
      </c>
      <c r="L6" s="1">
        <f t="shared" si="0"/>
        <v>0.25969550965229898</v>
      </c>
      <c r="M6">
        <f t="shared" si="1"/>
        <v>0.42878687746767702</v>
      </c>
    </row>
    <row r="7" spans="1:13">
      <c r="A7">
        <v>2015</v>
      </c>
      <c r="B7">
        <v>5</v>
      </c>
      <c r="C7">
        <v>22</v>
      </c>
      <c r="D7">
        <v>10</v>
      </c>
      <c r="E7">
        <v>73.37</v>
      </c>
      <c r="F7">
        <v>0.16</v>
      </c>
      <c r="G7">
        <v>0</v>
      </c>
      <c r="H7">
        <v>0</v>
      </c>
      <c r="I7">
        <v>0.5</v>
      </c>
      <c r="J7">
        <v>0</v>
      </c>
      <c r="K7">
        <v>0</v>
      </c>
      <c r="L7" s="1">
        <f t="shared" si="0"/>
        <v>0.102080709146949</v>
      </c>
      <c r="M7">
        <f t="shared" si="1"/>
        <v>0.49731415111924498</v>
      </c>
    </row>
    <row r="8" spans="1:13">
      <c r="A8">
        <v>2015</v>
      </c>
      <c r="B8">
        <v>5</v>
      </c>
      <c r="C8">
        <v>22</v>
      </c>
      <c r="D8">
        <v>11</v>
      </c>
      <c r="E8">
        <v>74.739999999999995</v>
      </c>
      <c r="F8">
        <v>4.5</v>
      </c>
      <c r="G8">
        <v>4.5</v>
      </c>
      <c r="H8">
        <v>1</v>
      </c>
      <c r="I8">
        <v>1</v>
      </c>
      <c r="J8">
        <v>1.33</v>
      </c>
      <c r="K8">
        <v>1.17</v>
      </c>
      <c r="L8" s="1">
        <f t="shared" si="0"/>
        <v>2.8917486730795701</v>
      </c>
      <c r="M8">
        <f t="shared" si="1"/>
        <v>0.50660024062494702</v>
      </c>
    </row>
    <row r="9" spans="1:13">
      <c r="A9">
        <v>2015</v>
      </c>
      <c r="B9">
        <v>5</v>
      </c>
      <c r="C9">
        <v>22</v>
      </c>
      <c r="D9">
        <v>12</v>
      </c>
      <c r="E9">
        <v>70.84</v>
      </c>
      <c r="F9">
        <v>0</v>
      </c>
      <c r="G9">
        <v>0</v>
      </c>
      <c r="H9">
        <v>2</v>
      </c>
      <c r="I9">
        <v>1.5</v>
      </c>
      <c r="J9">
        <v>2.67</v>
      </c>
      <c r="K9">
        <v>2.33</v>
      </c>
      <c r="L9" s="1">
        <f t="shared" si="0"/>
        <v>0.95306047443407105</v>
      </c>
      <c r="M9">
        <f t="shared" si="1"/>
        <v>0.48016538728754699</v>
      </c>
    </row>
    <row r="10" spans="1:13">
      <c r="A10">
        <v>2015</v>
      </c>
      <c r="B10">
        <v>5</v>
      </c>
      <c r="C10">
        <v>22</v>
      </c>
      <c r="D10">
        <v>13</v>
      </c>
      <c r="E10">
        <v>69.09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">
        <f t="shared" si="0"/>
        <v>0</v>
      </c>
      <c r="M10">
        <f t="shared" si="1"/>
        <v>0.468303594123329</v>
      </c>
    </row>
    <row r="11" spans="1:13">
      <c r="A11">
        <v>2015</v>
      </c>
      <c r="B11">
        <v>5</v>
      </c>
      <c r="C11">
        <v>22</v>
      </c>
      <c r="D11">
        <v>14</v>
      </c>
      <c r="E11">
        <v>69.72</v>
      </c>
      <c r="F11">
        <v>0.5</v>
      </c>
      <c r="G11">
        <v>0.5</v>
      </c>
      <c r="H11">
        <v>0</v>
      </c>
      <c r="I11">
        <v>1</v>
      </c>
      <c r="J11">
        <v>0.33</v>
      </c>
      <c r="K11">
        <v>0</v>
      </c>
      <c r="L11" s="1">
        <f t="shared" si="0"/>
        <v>0.411779043035715</v>
      </c>
      <c r="M11">
        <f t="shared" si="1"/>
        <v>0.47257383966244698</v>
      </c>
    </row>
    <row r="12" spans="1:13">
      <c r="A12">
        <v>2015</v>
      </c>
      <c r="B12">
        <v>5</v>
      </c>
      <c r="C12">
        <v>22</v>
      </c>
      <c r="D12">
        <v>15</v>
      </c>
      <c r="E12">
        <v>70.58</v>
      </c>
      <c r="F12">
        <v>0</v>
      </c>
      <c r="G12">
        <v>0</v>
      </c>
      <c r="H12">
        <v>0</v>
      </c>
      <c r="I12">
        <v>0</v>
      </c>
      <c r="J12">
        <v>0.67</v>
      </c>
      <c r="K12">
        <v>0</v>
      </c>
      <c r="L12" s="1">
        <f t="shared" si="0"/>
        <v>3.2350969748661799E-2</v>
      </c>
      <c r="M12">
        <f t="shared" si="1"/>
        <v>0.47840306373171998</v>
      </c>
    </row>
    <row r="13" spans="1:13">
      <c r="A13">
        <v>2015</v>
      </c>
      <c r="B13">
        <v>5</v>
      </c>
      <c r="C13">
        <v>22</v>
      </c>
      <c r="D13">
        <v>16</v>
      </c>
      <c r="E13">
        <v>69.62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">
        <f t="shared" si="0"/>
        <v>0</v>
      </c>
      <c r="M13">
        <f t="shared" si="1"/>
        <v>0.47189602291020599</v>
      </c>
    </row>
    <row r="14" spans="1:13">
      <c r="A14">
        <v>2015</v>
      </c>
      <c r="B14">
        <v>5</v>
      </c>
      <c r="C14">
        <v>22</v>
      </c>
      <c r="D14">
        <v>17</v>
      </c>
      <c r="E14">
        <v>66.7</v>
      </c>
      <c r="F14">
        <v>1</v>
      </c>
      <c r="G14">
        <v>0.45</v>
      </c>
      <c r="H14">
        <v>0.5</v>
      </c>
      <c r="I14">
        <v>0.83</v>
      </c>
      <c r="J14">
        <v>0.35</v>
      </c>
      <c r="K14">
        <v>0</v>
      </c>
      <c r="L14" s="1">
        <f t="shared" si="0"/>
        <v>0.56689714319067197</v>
      </c>
      <c r="M14">
        <f t="shared" si="1"/>
        <v>0.45210377374476801</v>
      </c>
    </row>
    <row r="15" spans="1:13">
      <c r="A15">
        <v>2015</v>
      </c>
      <c r="B15">
        <v>5</v>
      </c>
      <c r="C15">
        <v>22</v>
      </c>
      <c r="D15">
        <v>18</v>
      </c>
      <c r="E15">
        <v>63.11</v>
      </c>
      <c r="F15">
        <v>5.5</v>
      </c>
      <c r="G15">
        <v>0.9</v>
      </c>
      <c r="H15">
        <v>1</v>
      </c>
      <c r="I15">
        <v>1.67</v>
      </c>
      <c r="J15">
        <v>0.7</v>
      </c>
      <c r="K15">
        <v>1.5</v>
      </c>
      <c r="L15" s="1">
        <f t="shared" si="0"/>
        <v>2.1376977954010101</v>
      </c>
      <c r="M15">
        <f t="shared" si="1"/>
        <v>0.42777015233931498</v>
      </c>
    </row>
    <row r="16" spans="1:13">
      <c r="A16">
        <v>2015</v>
      </c>
      <c r="B16">
        <v>5</v>
      </c>
      <c r="C16">
        <v>22</v>
      </c>
      <c r="D16">
        <v>19</v>
      </c>
      <c r="E16">
        <v>61.86</v>
      </c>
      <c r="F16">
        <v>2.5</v>
      </c>
      <c r="G16">
        <v>1.35</v>
      </c>
      <c r="H16">
        <v>1.5</v>
      </c>
      <c r="I16">
        <v>2.5</v>
      </c>
      <c r="J16">
        <v>1.05</v>
      </c>
      <c r="K16">
        <v>3.5</v>
      </c>
      <c r="L16" s="1">
        <f t="shared" si="0"/>
        <v>2.0648074718</v>
      </c>
      <c r="M16">
        <f t="shared" si="1"/>
        <v>0.419297442936302</v>
      </c>
    </row>
    <row r="17" spans="1:13">
      <c r="A17">
        <v>2015</v>
      </c>
      <c r="B17">
        <v>5</v>
      </c>
      <c r="C17">
        <v>22</v>
      </c>
      <c r="D17">
        <v>20</v>
      </c>
      <c r="E17">
        <v>71.58</v>
      </c>
      <c r="F17">
        <v>0</v>
      </c>
      <c r="G17">
        <v>1.8</v>
      </c>
      <c r="H17">
        <v>2</v>
      </c>
      <c r="I17">
        <v>0</v>
      </c>
      <c r="J17">
        <v>1.4</v>
      </c>
      <c r="K17">
        <v>0.5</v>
      </c>
      <c r="L17" s="1">
        <f t="shared" si="0"/>
        <v>0.98792412971153398</v>
      </c>
      <c r="M17">
        <f t="shared" si="1"/>
        <v>0.48518123125412999</v>
      </c>
    </row>
    <row r="18" spans="1:13">
      <c r="A18">
        <v>2015</v>
      </c>
      <c r="B18">
        <v>5</v>
      </c>
      <c r="C18">
        <v>22</v>
      </c>
      <c r="D18">
        <v>21</v>
      </c>
      <c r="E18">
        <v>77.89</v>
      </c>
      <c r="F18">
        <v>0.5</v>
      </c>
      <c r="G18">
        <v>0</v>
      </c>
      <c r="H18">
        <v>0</v>
      </c>
      <c r="I18">
        <v>0.6</v>
      </c>
      <c r="J18">
        <v>0</v>
      </c>
      <c r="K18">
        <v>0</v>
      </c>
      <c r="L18" s="1">
        <f t="shared" si="0"/>
        <v>0.19274133571322299</v>
      </c>
      <c r="M18">
        <f t="shared" si="1"/>
        <v>0.52795146832053996</v>
      </c>
    </row>
    <row r="19" spans="1:13">
      <c r="A19">
        <v>2015</v>
      </c>
      <c r="B19">
        <v>5</v>
      </c>
      <c r="C19">
        <v>22</v>
      </c>
      <c r="D19">
        <v>22</v>
      </c>
      <c r="E19">
        <v>75.84</v>
      </c>
      <c r="F19">
        <v>0</v>
      </c>
      <c r="G19">
        <v>0.35</v>
      </c>
      <c r="H19">
        <v>0.25</v>
      </c>
      <c r="I19">
        <v>1.2</v>
      </c>
      <c r="J19">
        <v>0</v>
      </c>
      <c r="K19">
        <v>0</v>
      </c>
      <c r="L19" s="1">
        <f t="shared" si="0"/>
        <v>0.301599741676505</v>
      </c>
      <c r="M19">
        <f t="shared" si="1"/>
        <v>0.51405622489959801</v>
      </c>
    </row>
    <row r="20" spans="1:13">
      <c r="A20">
        <v>2015</v>
      </c>
      <c r="B20">
        <v>5</v>
      </c>
      <c r="C20">
        <v>22</v>
      </c>
      <c r="D20">
        <v>23</v>
      </c>
      <c r="E20">
        <v>70.209999999999994</v>
      </c>
      <c r="F20">
        <v>1.17</v>
      </c>
      <c r="G20">
        <v>0.69</v>
      </c>
      <c r="H20">
        <v>0.5</v>
      </c>
      <c r="I20">
        <v>1.8</v>
      </c>
      <c r="J20">
        <v>3.5</v>
      </c>
      <c r="K20">
        <v>0.42</v>
      </c>
      <c r="L20" s="1">
        <f t="shared" si="0"/>
        <v>1.0145346882137101</v>
      </c>
      <c r="M20">
        <f t="shared" si="1"/>
        <v>0.47589514174842801</v>
      </c>
    </row>
    <row r="21" spans="1:13">
      <c r="A21">
        <v>2015</v>
      </c>
      <c r="B21">
        <v>5</v>
      </c>
      <c r="C21">
        <v>23</v>
      </c>
      <c r="D21">
        <v>0</v>
      </c>
      <c r="E21">
        <v>67.739999999999995</v>
      </c>
      <c r="F21">
        <v>2.33</v>
      </c>
      <c r="G21">
        <v>1.04</v>
      </c>
      <c r="H21">
        <v>0.75</v>
      </c>
      <c r="I21">
        <v>2.4</v>
      </c>
      <c r="J21">
        <v>0.83</v>
      </c>
      <c r="K21">
        <v>0.83</v>
      </c>
      <c r="L21" s="1">
        <f t="shared" si="0"/>
        <v>1.4289205768220601</v>
      </c>
      <c r="M21">
        <f t="shared" si="1"/>
        <v>0.45915306796807498</v>
      </c>
    </row>
    <row r="22" spans="1:13">
      <c r="A22">
        <v>2015</v>
      </c>
      <c r="B22">
        <v>5</v>
      </c>
      <c r="C22">
        <v>23</v>
      </c>
      <c r="D22">
        <v>1</v>
      </c>
      <c r="E22">
        <v>68.819999999999993</v>
      </c>
      <c r="F22">
        <v>3.5</v>
      </c>
      <c r="G22">
        <v>1.39</v>
      </c>
      <c r="H22">
        <v>1</v>
      </c>
      <c r="I22">
        <v>3</v>
      </c>
      <c r="J22">
        <v>0.98</v>
      </c>
      <c r="K22">
        <v>1.25</v>
      </c>
      <c r="L22" s="1">
        <f t="shared" si="0"/>
        <v>1.9831133064842601</v>
      </c>
      <c r="M22">
        <f t="shared" si="1"/>
        <v>0.46647348889227802</v>
      </c>
    </row>
    <row r="23" spans="1:13">
      <c r="A23">
        <v>2015</v>
      </c>
      <c r="B23">
        <v>5</v>
      </c>
      <c r="C23">
        <v>23</v>
      </c>
      <c r="D23">
        <v>2</v>
      </c>
      <c r="E23">
        <v>70.42</v>
      </c>
      <c r="F23">
        <v>4</v>
      </c>
      <c r="G23">
        <v>1.74</v>
      </c>
      <c r="H23">
        <v>1.25</v>
      </c>
      <c r="I23">
        <v>3</v>
      </c>
      <c r="J23">
        <v>1.1299999999999999</v>
      </c>
      <c r="K23">
        <v>4</v>
      </c>
      <c r="L23" s="1">
        <f t="shared" si="0"/>
        <v>2.6232309265190201</v>
      </c>
      <c r="M23">
        <f t="shared" si="1"/>
        <v>0.47731855692813402</v>
      </c>
    </row>
    <row r="24" spans="1:13">
      <c r="A24">
        <v>2015</v>
      </c>
      <c r="B24">
        <v>5</v>
      </c>
      <c r="C24">
        <v>23</v>
      </c>
      <c r="D24">
        <v>3</v>
      </c>
      <c r="E24">
        <v>69.5</v>
      </c>
      <c r="F24">
        <v>1.44</v>
      </c>
      <c r="G24">
        <v>2.08</v>
      </c>
      <c r="H24">
        <v>1.5</v>
      </c>
      <c r="I24">
        <v>1.21</v>
      </c>
      <c r="J24">
        <v>1.29</v>
      </c>
      <c r="K24">
        <v>1.1499999999999999</v>
      </c>
      <c r="L24" s="1">
        <f t="shared" si="0"/>
        <v>1.5651828128265499</v>
      </c>
      <c r="M24">
        <f t="shared" si="1"/>
        <v>0.47108264280751699</v>
      </c>
    </row>
    <row r="25" spans="1:13">
      <c r="A25">
        <v>2015</v>
      </c>
      <c r="B25">
        <v>5</v>
      </c>
      <c r="C25">
        <v>23</v>
      </c>
      <c r="D25">
        <v>4</v>
      </c>
      <c r="E25">
        <v>64.87</v>
      </c>
      <c r="F25">
        <v>1.5</v>
      </c>
      <c r="G25">
        <v>2.4300000000000002</v>
      </c>
      <c r="H25">
        <v>1.75</v>
      </c>
      <c r="I25">
        <v>1.33</v>
      </c>
      <c r="J25">
        <v>1.44</v>
      </c>
      <c r="K25">
        <v>1.22</v>
      </c>
      <c r="L25" s="1">
        <f t="shared" si="0"/>
        <v>1.7555715030774799</v>
      </c>
      <c r="M25">
        <f t="shared" si="1"/>
        <v>0.43969972717875699</v>
      </c>
    </row>
    <row r="26" spans="1:13">
      <c r="A26">
        <v>2015</v>
      </c>
      <c r="B26">
        <v>5</v>
      </c>
      <c r="C26">
        <v>23</v>
      </c>
      <c r="D26">
        <v>5</v>
      </c>
      <c r="E26">
        <v>62.74</v>
      </c>
      <c r="F26">
        <v>1.56</v>
      </c>
      <c r="G26">
        <v>2.78</v>
      </c>
      <c r="H26">
        <v>2</v>
      </c>
      <c r="I26">
        <v>1.45</v>
      </c>
      <c r="J26">
        <v>1.59</v>
      </c>
      <c r="K26">
        <v>1.28</v>
      </c>
      <c r="L26" s="1">
        <f t="shared" si="0"/>
        <v>1.94459780048464</v>
      </c>
      <c r="M26">
        <f t="shared" si="1"/>
        <v>0.42526223035602301</v>
      </c>
    </row>
    <row r="27" spans="1:13">
      <c r="A27">
        <v>2015</v>
      </c>
      <c r="B27">
        <v>5</v>
      </c>
      <c r="C27">
        <v>23</v>
      </c>
      <c r="D27">
        <v>6</v>
      </c>
      <c r="E27">
        <v>71.16</v>
      </c>
      <c r="F27">
        <v>8.5</v>
      </c>
      <c r="G27">
        <v>9.5</v>
      </c>
      <c r="H27">
        <v>3.5</v>
      </c>
      <c r="I27">
        <v>5.5</v>
      </c>
      <c r="J27">
        <v>1.74</v>
      </c>
      <c r="K27">
        <v>1.35</v>
      </c>
      <c r="L27" s="1">
        <f t="shared" si="0"/>
        <v>6.3323758230295804</v>
      </c>
      <c r="M27">
        <f t="shared" si="1"/>
        <v>0.48233440089471802</v>
      </c>
    </row>
    <row r="28" spans="1:13">
      <c r="A28">
        <v>2015</v>
      </c>
      <c r="B28">
        <v>5</v>
      </c>
      <c r="C28">
        <v>23</v>
      </c>
      <c r="D28">
        <v>7</v>
      </c>
      <c r="E28">
        <v>94.58</v>
      </c>
      <c r="F28">
        <v>11</v>
      </c>
      <c r="G28">
        <v>4</v>
      </c>
      <c r="H28">
        <v>5.5</v>
      </c>
      <c r="I28">
        <v>8</v>
      </c>
      <c r="J28">
        <v>10</v>
      </c>
      <c r="K28">
        <v>11</v>
      </c>
      <c r="L28" s="1">
        <f t="shared" si="0"/>
        <v>7.5970200539617503</v>
      </c>
      <c r="M28">
        <f t="shared" si="1"/>
        <v>0.64107908426956794</v>
      </c>
    </row>
    <row r="29" spans="1:13">
      <c r="A29">
        <v>2015</v>
      </c>
      <c r="B29">
        <v>5</v>
      </c>
      <c r="C29">
        <v>23</v>
      </c>
      <c r="D29">
        <v>8</v>
      </c>
      <c r="E29">
        <v>104</v>
      </c>
      <c r="F29">
        <v>9.5</v>
      </c>
      <c r="G29">
        <v>6</v>
      </c>
      <c r="H29">
        <v>2</v>
      </c>
      <c r="I29">
        <v>4.5</v>
      </c>
      <c r="J29">
        <v>1.5</v>
      </c>
      <c r="K29">
        <v>4.5</v>
      </c>
      <c r="L29" s="1">
        <f t="shared" si="0"/>
        <v>5.5599575987965002</v>
      </c>
      <c r="M29">
        <f t="shared" si="1"/>
        <v>0.70492942233067302</v>
      </c>
    </row>
    <row r="30" spans="1:13">
      <c r="A30">
        <v>2015</v>
      </c>
      <c r="B30">
        <v>5</v>
      </c>
      <c r="C30">
        <v>23</v>
      </c>
      <c r="D30">
        <v>9</v>
      </c>
      <c r="E30">
        <v>106.74</v>
      </c>
      <c r="F30">
        <v>6.5</v>
      </c>
      <c r="G30">
        <v>5</v>
      </c>
      <c r="H30">
        <v>5.5</v>
      </c>
      <c r="I30">
        <v>4.5</v>
      </c>
      <c r="J30">
        <v>5.5</v>
      </c>
      <c r="K30">
        <v>6.5</v>
      </c>
      <c r="L30" s="1">
        <f t="shared" si="0"/>
        <v>5.5824940643963599</v>
      </c>
      <c r="M30">
        <f t="shared" si="1"/>
        <v>0.72350160134207697</v>
      </c>
    </row>
    <row r="31" spans="1:13">
      <c r="A31">
        <v>2015</v>
      </c>
      <c r="B31">
        <v>5</v>
      </c>
      <c r="C31">
        <v>23</v>
      </c>
      <c r="D31">
        <v>10</v>
      </c>
      <c r="E31">
        <v>114</v>
      </c>
      <c r="F31">
        <v>18</v>
      </c>
      <c r="G31">
        <v>10.5</v>
      </c>
      <c r="H31">
        <v>6</v>
      </c>
      <c r="I31">
        <v>11.5</v>
      </c>
      <c r="J31">
        <v>7</v>
      </c>
      <c r="K31">
        <v>19.5</v>
      </c>
      <c r="L31" s="1">
        <f t="shared" si="0"/>
        <v>12.7014885609009</v>
      </c>
      <c r="M31">
        <f t="shared" si="1"/>
        <v>0.77271109755477596</v>
      </c>
    </row>
    <row r="32" spans="1:13">
      <c r="A32">
        <v>2015</v>
      </c>
      <c r="B32">
        <v>5</v>
      </c>
      <c r="C32">
        <v>23</v>
      </c>
      <c r="D32">
        <v>11</v>
      </c>
      <c r="E32">
        <v>149.47</v>
      </c>
      <c r="F32">
        <v>2.33</v>
      </c>
      <c r="G32">
        <v>4.5</v>
      </c>
      <c r="H32">
        <v>5</v>
      </c>
      <c r="I32">
        <v>6</v>
      </c>
      <c r="J32">
        <v>4</v>
      </c>
      <c r="K32">
        <v>7</v>
      </c>
      <c r="L32" s="1">
        <f t="shared" si="0"/>
        <v>4.5958045025860601</v>
      </c>
      <c r="M32">
        <f t="shared" si="1"/>
        <v>1.0131326995746699</v>
      </c>
    </row>
    <row r="33" spans="1:13">
      <c r="A33">
        <v>2015</v>
      </c>
      <c r="B33">
        <v>5</v>
      </c>
      <c r="C33">
        <v>23</v>
      </c>
      <c r="D33">
        <v>12</v>
      </c>
      <c r="E33">
        <v>194</v>
      </c>
      <c r="F33">
        <v>0.67</v>
      </c>
      <c r="G33">
        <v>0.7</v>
      </c>
      <c r="H33">
        <v>1.18</v>
      </c>
      <c r="I33">
        <v>0</v>
      </c>
      <c r="J33">
        <v>1</v>
      </c>
      <c r="K33">
        <v>0.78</v>
      </c>
      <c r="L33" s="1">
        <f t="shared" si="0"/>
        <v>0.70110017190186003</v>
      </c>
      <c r="M33">
        <f t="shared" si="1"/>
        <v>1.3149644993476</v>
      </c>
    </row>
    <row r="34" spans="1:13">
      <c r="A34">
        <v>2015</v>
      </c>
      <c r="B34">
        <v>5</v>
      </c>
      <c r="C34">
        <v>23</v>
      </c>
      <c r="D34">
        <v>13</v>
      </c>
      <c r="E34">
        <v>182.93</v>
      </c>
      <c r="F34">
        <v>0</v>
      </c>
      <c r="G34">
        <v>0.65</v>
      </c>
      <c r="H34">
        <v>1</v>
      </c>
      <c r="I34">
        <v>0</v>
      </c>
      <c r="J34">
        <v>0</v>
      </c>
      <c r="K34">
        <v>0.5</v>
      </c>
      <c r="L34" s="1">
        <f t="shared" si="0"/>
        <v>0.41890656860917702</v>
      </c>
      <c r="M34">
        <f t="shared" si="1"/>
        <v>1.2399301848745199</v>
      </c>
    </row>
    <row r="35" spans="1:13">
      <c r="A35">
        <v>2015</v>
      </c>
      <c r="B35">
        <v>5</v>
      </c>
      <c r="C35">
        <v>23</v>
      </c>
      <c r="D35">
        <v>14</v>
      </c>
      <c r="E35">
        <v>259.29000000000002</v>
      </c>
      <c r="F35">
        <v>0</v>
      </c>
      <c r="G35">
        <v>0.6</v>
      </c>
      <c r="H35">
        <v>0.82</v>
      </c>
      <c r="I35">
        <v>0.5</v>
      </c>
      <c r="J35">
        <v>0.5</v>
      </c>
      <c r="K35">
        <v>0.22</v>
      </c>
      <c r="L35" s="1">
        <f t="shared" si="0"/>
        <v>0.42753513820871902</v>
      </c>
      <c r="M35">
        <f t="shared" si="1"/>
        <v>1.7575110568857699</v>
      </c>
    </row>
    <row r="36" spans="1:13">
      <c r="A36">
        <v>2015</v>
      </c>
      <c r="B36">
        <v>5</v>
      </c>
      <c r="C36">
        <v>23</v>
      </c>
      <c r="D36">
        <v>15</v>
      </c>
      <c r="E36">
        <v>194</v>
      </c>
      <c r="F36">
        <v>0.53</v>
      </c>
      <c r="G36">
        <v>0.55000000000000004</v>
      </c>
      <c r="H36">
        <v>0</v>
      </c>
      <c r="I36">
        <v>0</v>
      </c>
      <c r="J36">
        <v>0</v>
      </c>
      <c r="K36">
        <v>0</v>
      </c>
      <c r="L36" s="1">
        <f t="shared" si="0"/>
        <v>0.2865700024665</v>
      </c>
      <c r="M36">
        <f t="shared" si="1"/>
        <v>1.3149644993476</v>
      </c>
    </row>
    <row r="37" spans="1:13">
      <c r="A37">
        <v>2015</v>
      </c>
      <c r="B37">
        <v>5</v>
      </c>
      <c r="C37">
        <v>23</v>
      </c>
      <c r="D37">
        <v>16</v>
      </c>
      <c r="E37">
        <v>206.59</v>
      </c>
      <c r="F37">
        <v>1.07</v>
      </c>
      <c r="G37">
        <v>0.5</v>
      </c>
      <c r="H37">
        <v>1.5</v>
      </c>
      <c r="I37">
        <v>0.33</v>
      </c>
      <c r="J37">
        <v>0.5</v>
      </c>
      <c r="K37">
        <v>0.5</v>
      </c>
      <c r="L37" s="1">
        <f t="shared" ref="L37:L68" si="2">F37*$F$2+G37*$G$2+H37*$H$2+I37*$I$2+J37*$J$2+K37*$K$2</f>
        <v>0.76266314201955498</v>
      </c>
      <c r="M37">
        <f t="shared" ref="M37:M68" si="3">E37*3600/(1000*$L$1)</f>
        <v>1.40030162845475</v>
      </c>
    </row>
    <row r="38" spans="1:13">
      <c r="A38">
        <v>2015</v>
      </c>
      <c r="B38">
        <v>5</v>
      </c>
      <c r="C38">
        <v>23</v>
      </c>
      <c r="D38">
        <v>17</v>
      </c>
      <c r="E38">
        <v>175.33</v>
      </c>
      <c r="F38">
        <v>0</v>
      </c>
      <c r="G38">
        <v>0</v>
      </c>
      <c r="H38">
        <v>0</v>
      </c>
      <c r="I38">
        <v>0.67</v>
      </c>
      <c r="J38">
        <v>1</v>
      </c>
      <c r="K38">
        <v>0</v>
      </c>
      <c r="L38" s="1">
        <f t="shared" si="2"/>
        <v>0.13617572022737001</v>
      </c>
      <c r="M38">
        <f t="shared" si="3"/>
        <v>1.1884161117042</v>
      </c>
    </row>
    <row r="39" spans="1:13">
      <c r="A39">
        <v>2015</v>
      </c>
      <c r="B39">
        <v>5</v>
      </c>
      <c r="C39">
        <v>23</v>
      </c>
      <c r="D39">
        <v>18</v>
      </c>
      <c r="E39">
        <v>148</v>
      </c>
      <c r="F39">
        <v>0</v>
      </c>
      <c r="G39">
        <v>0.5</v>
      </c>
      <c r="H39">
        <v>0.5</v>
      </c>
      <c r="I39">
        <v>0</v>
      </c>
      <c r="J39">
        <v>0</v>
      </c>
      <c r="K39">
        <v>0</v>
      </c>
      <c r="L39" s="1">
        <f t="shared" si="2"/>
        <v>0.22811452090594</v>
      </c>
      <c r="M39">
        <f t="shared" si="3"/>
        <v>1.0031687933167299</v>
      </c>
    </row>
    <row r="40" spans="1:13">
      <c r="A40">
        <v>2015</v>
      </c>
      <c r="B40">
        <v>5</v>
      </c>
      <c r="C40">
        <v>23</v>
      </c>
      <c r="D40">
        <v>19</v>
      </c>
      <c r="E40">
        <v>161.47999999999999</v>
      </c>
      <c r="F40">
        <v>0.83</v>
      </c>
      <c r="G40">
        <v>0</v>
      </c>
      <c r="H40">
        <v>0</v>
      </c>
      <c r="I40">
        <v>0.5</v>
      </c>
      <c r="J40">
        <v>0</v>
      </c>
      <c r="K40">
        <v>0</v>
      </c>
      <c r="L40" s="1">
        <f t="shared" si="2"/>
        <v>0.254885270100561</v>
      </c>
      <c r="M40">
        <f t="shared" si="3"/>
        <v>1.0945384915188201</v>
      </c>
    </row>
    <row r="41" spans="1:13">
      <c r="A41">
        <v>2015</v>
      </c>
      <c r="B41">
        <v>5</v>
      </c>
      <c r="C41">
        <v>23</v>
      </c>
      <c r="D41">
        <v>20</v>
      </c>
      <c r="E41">
        <v>161.1</v>
      </c>
      <c r="F41">
        <v>1.67</v>
      </c>
      <c r="G41">
        <v>1</v>
      </c>
      <c r="H41">
        <v>1</v>
      </c>
      <c r="I41">
        <v>1</v>
      </c>
      <c r="J41">
        <v>1</v>
      </c>
      <c r="K41">
        <v>1.5</v>
      </c>
      <c r="L41" s="1">
        <f t="shared" si="2"/>
        <v>1.22092420314168</v>
      </c>
      <c r="M41">
        <f t="shared" si="3"/>
        <v>1.0919627878603</v>
      </c>
    </row>
    <row r="42" spans="1:13">
      <c r="A42">
        <v>2015</v>
      </c>
      <c r="B42">
        <v>5</v>
      </c>
      <c r="C42">
        <v>23</v>
      </c>
      <c r="D42">
        <v>21</v>
      </c>
      <c r="E42">
        <v>143.62</v>
      </c>
      <c r="F42">
        <v>1.06</v>
      </c>
      <c r="G42">
        <v>0.5</v>
      </c>
      <c r="H42">
        <v>0</v>
      </c>
      <c r="I42">
        <v>1</v>
      </c>
      <c r="J42">
        <v>0.53</v>
      </c>
      <c r="K42">
        <v>0.91</v>
      </c>
      <c r="L42" s="1">
        <f t="shared" si="2"/>
        <v>0.67313104268927604</v>
      </c>
      <c r="M42">
        <f t="shared" si="3"/>
        <v>0.97348041956857001</v>
      </c>
    </row>
    <row r="43" spans="1:13">
      <c r="A43">
        <v>2015</v>
      </c>
      <c r="B43">
        <v>5</v>
      </c>
      <c r="C43">
        <v>23</v>
      </c>
      <c r="D43">
        <v>22</v>
      </c>
      <c r="E43">
        <v>122.72</v>
      </c>
      <c r="F43">
        <v>0.94</v>
      </c>
      <c r="G43">
        <v>0</v>
      </c>
      <c r="H43">
        <v>0</v>
      </c>
      <c r="I43">
        <v>0</v>
      </c>
      <c r="J43">
        <v>0.76</v>
      </c>
      <c r="K43">
        <v>1.3</v>
      </c>
      <c r="L43" s="1">
        <f t="shared" si="2"/>
        <v>0.42819021044327399</v>
      </c>
      <c r="M43">
        <f t="shared" si="3"/>
        <v>0.831816718350194</v>
      </c>
    </row>
    <row r="44" spans="1:13">
      <c r="A44">
        <v>2015</v>
      </c>
      <c r="B44">
        <v>5</v>
      </c>
      <c r="C44">
        <v>23</v>
      </c>
      <c r="D44">
        <v>23</v>
      </c>
      <c r="E44">
        <v>115.92</v>
      </c>
      <c r="F44">
        <v>3</v>
      </c>
      <c r="G44">
        <v>3.5</v>
      </c>
      <c r="H44">
        <v>0.4</v>
      </c>
      <c r="I44">
        <v>4</v>
      </c>
      <c r="J44">
        <v>1</v>
      </c>
      <c r="K44">
        <v>1.7</v>
      </c>
      <c r="L44" s="1">
        <f t="shared" si="2"/>
        <v>2.6052193772746901</v>
      </c>
      <c r="M44">
        <f t="shared" si="3"/>
        <v>0.78572517919780405</v>
      </c>
    </row>
    <row r="45" spans="1:13">
      <c r="A45">
        <v>2015</v>
      </c>
      <c r="B45">
        <v>5</v>
      </c>
      <c r="C45">
        <v>24</v>
      </c>
      <c r="D45">
        <v>0</v>
      </c>
      <c r="E45">
        <v>122</v>
      </c>
      <c r="F45">
        <v>1</v>
      </c>
      <c r="G45">
        <v>2</v>
      </c>
      <c r="H45">
        <v>0.8</v>
      </c>
      <c r="I45">
        <v>2.5</v>
      </c>
      <c r="J45">
        <v>1.24</v>
      </c>
      <c r="K45">
        <v>2.09</v>
      </c>
      <c r="L45" s="1">
        <f t="shared" si="2"/>
        <v>1.62712944605426</v>
      </c>
      <c r="M45">
        <f t="shared" si="3"/>
        <v>0.826936437734059</v>
      </c>
    </row>
    <row r="46" spans="1:13">
      <c r="A46">
        <v>2015</v>
      </c>
      <c r="B46">
        <v>5</v>
      </c>
      <c r="C46">
        <v>24</v>
      </c>
      <c r="D46">
        <v>1</v>
      </c>
      <c r="E46">
        <v>126.67</v>
      </c>
      <c r="F46">
        <v>0</v>
      </c>
      <c r="G46">
        <v>0</v>
      </c>
      <c r="H46">
        <v>1.2</v>
      </c>
      <c r="I46">
        <v>0</v>
      </c>
      <c r="J46">
        <v>1.47</v>
      </c>
      <c r="K46">
        <v>0</v>
      </c>
      <c r="L46" s="1">
        <f t="shared" si="2"/>
        <v>0.25693801930648102</v>
      </c>
      <c r="M46">
        <f t="shared" si="3"/>
        <v>0.85859048006371497</v>
      </c>
    </row>
    <row r="47" spans="1:13">
      <c r="A47">
        <v>2015</v>
      </c>
      <c r="B47">
        <v>5</v>
      </c>
      <c r="C47">
        <v>24</v>
      </c>
      <c r="D47">
        <v>2</v>
      </c>
      <c r="E47">
        <v>122.54</v>
      </c>
      <c r="F47">
        <v>0</v>
      </c>
      <c r="G47">
        <v>0</v>
      </c>
      <c r="H47">
        <v>1.6</v>
      </c>
      <c r="I47">
        <v>0</v>
      </c>
      <c r="J47">
        <v>0</v>
      </c>
      <c r="K47">
        <v>2.5</v>
      </c>
      <c r="L47" s="1">
        <f t="shared" si="2"/>
        <v>0.58854357891011</v>
      </c>
      <c r="M47">
        <f t="shared" si="3"/>
        <v>0.83059664819615997</v>
      </c>
    </row>
    <row r="48" spans="1:13">
      <c r="A48">
        <v>2015</v>
      </c>
      <c r="B48">
        <v>5</v>
      </c>
      <c r="C48">
        <v>24</v>
      </c>
      <c r="D48">
        <v>3</v>
      </c>
      <c r="E48">
        <v>111.59</v>
      </c>
      <c r="F48">
        <v>14.5</v>
      </c>
      <c r="G48">
        <v>9.5</v>
      </c>
      <c r="H48">
        <v>2</v>
      </c>
      <c r="I48">
        <v>10.5</v>
      </c>
      <c r="J48">
        <v>12</v>
      </c>
      <c r="K48">
        <v>17.5</v>
      </c>
      <c r="L48" s="1">
        <f t="shared" si="2"/>
        <v>10.819895616220199</v>
      </c>
      <c r="M48">
        <f t="shared" si="3"/>
        <v>0.75637571382576696</v>
      </c>
    </row>
    <row r="49" spans="1:13">
      <c r="A49">
        <v>2015</v>
      </c>
      <c r="B49">
        <v>5</v>
      </c>
      <c r="C49">
        <v>24</v>
      </c>
      <c r="D49">
        <v>4</v>
      </c>
      <c r="E49">
        <v>131</v>
      </c>
      <c r="F49">
        <v>1</v>
      </c>
      <c r="G49">
        <v>19.5</v>
      </c>
      <c r="H49">
        <v>13.5</v>
      </c>
      <c r="I49">
        <v>7.5</v>
      </c>
      <c r="J49">
        <v>8.5</v>
      </c>
      <c r="K49">
        <v>1.82</v>
      </c>
      <c r="L49" s="1">
        <f t="shared" si="2"/>
        <v>9.8369669583161592</v>
      </c>
      <c r="M49">
        <f t="shared" si="3"/>
        <v>0.88793994543575105</v>
      </c>
    </row>
    <row r="50" spans="1:13">
      <c r="A50">
        <v>2015</v>
      </c>
      <c r="B50">
        <v>5</v>
      </c>
      <c r="C50">
        <v>24</v>
      </c>
      <c r="D50">
        <v>5</v>
      </c>
      <c r="E50">
        <v>142</v>
      </c>
      <c r="F50">
        <v>4</v>
      </c>
      <c r="G50">
        <v>16.5</v>
      </c>
      <c r="H50">
        <v>14</v>
      </c>
      <c r="I50">
        <v>17.5</v>
      </c>
      <c r="J50">
        <v>7</v>
      </c>
      <c r="K50">
        <v>1.56</v>
      </c>
      <c r="L50" s="1">
        <f t="shared" si="2"/>
        <v>10.898811448325</v>
      </c>
      <c r="M50">
        <f t="shared" si="3"/>
        <v>0.962499788182265</v>
      </c>
    </row>
    <row r="51" spans="1:13">
      <c r="A51">
        <v>2015</v>
      </c>
      <c r="B51">
        <v>5</v>
      </c>
      <c r="C51">
        <v>24</v>
      </c>
      <c r="D51">
        <v>6</v>
      </c>
      <c r="E51">
        <v>224.34</v>
      </c>
      <c r="F51">
        <v>0.97</v>
      </c>
      <c r="G51">
        <v>7</v>
      </c>
      <c r="H51">
        <v>9.5</v>
      </c>
      <c r="I51">
        <v>3.5</v>
      </c>
      <c r="J51">
        <v>8.5</v>
      </c>
      <c r="K51">
        <v>1.3</v>
      </c>
      <c r="L51" s="1">
        <f t="shared" si="2"/>
        <v>4.8489067380633699</v>
      </c>
      <c r="M51">
        <f t="shared" si="3"/>
        <v>1.5206141019775301</v>
      </c>
    </row>
    <row r="52" spans="1:13">
      <c r="A52">
        <v>2015</v>
      </c>
      <c r="B52">
        <v>5</v>
      </c>
      <c r="C52">
        <v>24</v>
      </c>
      <c r="D52">
        <v>7</v>
      </c>
      <c r="E52">
        <v>250.4</v>
      </c>
      <c r="F52">
        <v>0.83</v>
      </c>
      <c r="G52">
        <v>2.5</v>
      </c>
      <c r="H52">
        <v>4</v>
      </c>
      <c r="I52">
        <v>0.94</v>
      </c>
      <c r="J52">
        <v>5.5</v>
      </c>
      <c r="K52">
        <v>1.04</v>
      </c>
      <c r="L52" s="1">
        <f t="shared" si="2"/>
        <v>2.0928824345671502</v>
      </c>
      <c r="M52">
        <f t="shared" si="3"/>
        <v>1.69725314761154</v>
      </c>
    </row>
    <row r="53" spans="1:13">
      <c r="A53">
        <v>2015</v>
      </c>
      <c r="B53">
        <v>5</v>
      </c>
      <c r="C53">
        <v>24</v>
      </c>
      <c r="D53">
        <v>8</v>
      </c>
      <c r="E53">
        <v>278</v>
      </c>
      <c r="F53">
        <v>0.69</v>
      </c>
      <c r="G53">
        <v>6</v>
      </c>
      <c r="H53">
        <v>5</v>
      </c>
      <c r="I53">
        <v>0.56000000000000005</v>
      </c>
      <c r="J53">
        <v>0.5</v>
      </c>
      <c r="K53">
        <v>0.78</v>
      </c>
      <c r="L53" s="1">
        <f t="shared" si="2"/>
        <v>2.94364431942491</v>
      </c>
      <c r="M53">
        <f t="shared" si="3"/>
        <v>1.88433057123007</v>
      </c>
    </row>
    <row r="54" spans="1:13">
      <c r="A54">
        <v>2015</v>
      </c>
      <c r="B54">
        <v>5</v>
      </c>
      <c r="C54">
        <v>24</v>
      </c>
      <c r="D54">
        <v>9</v>
      </c>
      <c r="E54">
        <v>292.12</v>
      </c>
      <c r="F54">
        <v>0</v>
      </c>
      <c r="G54">
        <v>0</v>
      </c>
      <c r="H54">
        <v>3.5</v>
      </c>
      <c r="I54">
        <v>0</v>
      </c>
      <c r="J54">
        <v>0.61</v>
      </c>
      <c r="K54">
        <v>0</v>
      </c>
      <c r="L54" s="1">
        <f t="shared" si="2"/>
        <v>0.57183436041399605</v>
      </c>
      <c r="M54">
        <f t="shared" si="3"/>
        <v>1.9800382966465</v>
      </c>
    </row>
    <row r="55" spans="1:13">
      <c r="A55">
        <v>2015</v>
      </c>
      <c r="B55">
        <v>5</v>
      </c>
      <c r="C55">
        <v>24</v>
      </c>
      <c r="D55">
        <v>10</v>
      </c>
      <c r="E55">
        <v>269.39</v>
      </c>
      <c r="F55">
        <v>0.83</v>
      </c>
      <c r="G55">
        <v>4</v>
      </c>
      <c r="H55">
        <v>1.02</v>
      </c>
      <c r="I55">
        <v>6</v>
      </c>
      <c r="J55">
        <v>1.04</v>
      </c>
      <c r="K55">
        <v>0</v>
      </c>
      <c r="L55" s="1">
        <f t="shared" si="2"/>
        <v>2.38971036513612</v>
      </c>
      <c r="M55">
        <f t="shared" si="3"/>
        <v>1.8259705488621201</v>
      </c>
    </row>
    <row r="56" spans="1:13">
      <c r="A56">
        <v>2015</v>
      </c>
      <c r="B56">
        <v>5</v>
      </c>
      <c r="C56">
        <v>24</v>
      </c>
      <c r="D56">
        <v>11</v>
      </c>
      <c r="E56">
        <v>329.52</v>
      </c>
      <c r="F56">
        <v>1.67</v>
      </c>
      <c r="G56">
        <v>0.5</v>
      </c>
      <c r="H56">
        <v>1.0900000000000001</v>
      </c>
      <c r="I56">
        <v>1.8</v>
      </c>
      <c r="J56">
        <v>1.46</v>
      </c>
      <c r="K56">
        <v>0</v>
      </c>
      <c r="L56" s="1">
        <f t="shared" si="2"/>
        <v>1.0070358320294801</v>
      </c>
      <c r="M56">
        <f t="shared" si="3"/>
        <v>2.2335417619846498</v>
      </c>
    </row>
    <row r="57" spans="1:13">
      <c r="A57">
        <v>2015</v>
      </c>
      <c r="B57">
        <v>5</v>
      </c>
      <c r="C57">
        <v>24</v>
      </c>
      <c r="D57">
        <v>12</v>
      </c>
      <c r="E57">
        <v>207.29</v>
      </c>
      <c r="F57">
        <v>0</v>
      </c>
      <c r="G57">
        <v>0</v>
      </c>
      <c r="H57">
        <v>1.1599999999999999</v>
      </c>
      <c r="I57">
        <v>1.2</v>
      </c>
      <c r="J57">
        <v>1.89</v>
      </c>
      <c r="K57">
        <v>0</v>
      </c>
      <c r="L57" s="1">
        <f t="shared" si="2"/>
        <v>0.42843526002745203</v>
      </c>
      <c r="M57">
        <f t="shared" si="3"/>
        <v>1.4050463457204301</v>
      </c>
    </row>
    <row r="58" spans="1:13">
      <c r="A58">
        <v>2015</v>
      </c>
      <c r="B58">
        <v>5</v>
      </c>
      <c r="C58">
        <v>24</v>
      </c>
      <c r="D58">
        <v>13</v>
      </c>
      <c r="E58">
        <v>171.63</v>
      </c>
      <c r="F58">
        <v>0</v>
      </c>
      <c r="G58">
        <v>0.5</v>
      </c>
      <c r="H58">
        <v>1.23</v>
      </c>
      <c r="I58">
        <v>0</v>
      </c>
      <c r="J58">
        <v>0</v>
      </c>
      <c r="K58">
        <v>0</v>
      </c>
      <c r="L58" s="1">
        <f t="shared" si="2"/>
        <v>0.34123959504214701</v>
      </c>
      <c r="M58">
        <f t="shared" si="3"/>
        <v>1.1633368918712801</v>
      </c>
    </row>
    <row r="59" spans="1:13">
      <c r="A59">
        <v>2015</v>
      </c>
      <c r="B59">
        <v>5</v>
      </c>
      <c r="C59">
        <v>24</v>
      </c>
      <c r="D59">
        <v>14</v>
      </c>
      <c r="E59">
        <v>242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1">
        <f t="shared" si="2"/>
        <v>0</v>
      </c>
      <c r="M59">
        <f t="shared" si="3"/>
        <v>1.6403165404233</v>
      </c>
    </row>
    <row r="60" spans="1:13">
      <c r="A60">
        <v>2015</v>
      </c>
      <c r="B60">
        <v>5</v>
      </c>
      <c r="C60">
        <v>24</v>
      </c>
      <c r="D60">
        <v>15</v>
      </c>
      <c r="E60">
        <v>194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1">
        <f t="shared" si="2"/>
        <v>0</v>
      </c>
      <c r="M60">
        <f t="shared" si="3"/>
        <v>1.3149644993476</v>
      </c>
    </row>
    <row r="61" spans="1:13">
      <c r="A61">
        <v>2015</v>
      </c>
      <c r="B61">
        <v>5</v>
      </c>
      <c r="C61">
        <v>24</v>
      </c>
      <c r="D61">
        <v>16</v>
      </c>
      <c r="E61">
        <v>190.05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1">
        <f t="shared" si="2"/>
        <v>0</v>
      </c>
      <c r="M61">
        <f t="shared" si="3"/>
        <v>1.28819073763408</v>
      </c>
    </row>
    <row r="62" spans="1:13">
      <c r="A62">
        <v>2015</v>
      </c>
      <c r="B62">
        <v>5</v>
      </c>
      <c r="C62">
        <v>24</v>
      </c>
      <c r="D62">
        <v>17</v>
      </c>
      <c r="E62">
        <v>116.07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1">
        <f t="shared" si="2"/>
        <v>0</v>
      </c>
      <c r="M62">
        <f t="shared" si="3"/>
        <v>0.78674190432616498</v>
      </c>
    </row>
    <row r="63" spans="1:13">
      <c r="A63">
        <v>2015</v>
      </c>
      <c r="B63">
        <v>5</v>
      </c>
      <c r="C63">
        <v>24</v>
      </c>
      <c r="D63">
        <v>18</v>
      </c>
      <c r="E63">
        <v>105.66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1">
        <f t="shared" si="2"/>
        <v>0</v>
      </c>
      <c r="M63">
        <f t="shared" si="3"/>
        <v>0.71618118041787404</v>
      </c>
    </row>
    <row r="64" spans="1:13">
      <c r="A64">
        <v>2015</v>
      </c>
      <c r="B64">
        <v>5</v>
      </c>
      <c r="C64">
        <v>24</v>
      </c>
      <c r="D64">
        <v>19</v>
      </c>
      <c r="E64">
        <v>131.83000000000001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1">
        <f t="shared" si="2"/>
        <v>0</v>
      </c>
      <c r="M64">
        <f t="shared" si="3"/>
        <v>0.89356582447935196</v>
      </c>
    </row>
    <row r="65" spans="1:13">
      <c r="A65">
        <v>2015</v>
      </c>
      <c r="B65">
        <v>5</v>
      </c>
      <c r="C65">
        <v>24</v>
      </c>
      <c r="D65">
        <v>20</v>
      </c>
      <c r="E65">
        <v>151.01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>
        <f t="shared" si="2"/>
        <v>0</v>
      </c>
      <c r="M65">
        <f t="shared" si="3"/>
        <v>1.02357107755918</v>
      </c>
    </row>
    <row r="66" spans="1:13">
      <c r="A66">
        <v>2015</v>
      </c>
      <c r="B66">
        <v>5</v>
      </c>
      <c r="C66">
        <v>24</v>
      </c>
      <c r="D66">
        <v>21</v>
      </c>
      <c r="E66">
        <v>127.47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1">
        <f t="shared" si="2"/>
        <v>0</v>
      </c>
      <c r="M66">
        <f t="shared" si="3"/>
        <v>0.86401301408164299</v>
      </c>
    </row>
    <row r="67" spans="1:13">
      <c r="A67">
        <v>2015</v>
      </c>
      <c r="B67">
        <v>5</v>
      </c>
      <c r="C67">
        <v>24</v>
      </c>
      <c r="D67">
        <v>22</v>
      </c>
      <c r="E67">
        <v>108.33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1">
        <f t="shared" si="2"/>
        <v>0</v>
      </c>
      <c r="M67">
        <f t="shared" si="3"/>
        <v>0.73427888770270999</v>
      </c>
    </row>
    <row r="68" spans="1:13">
      <c r="A68">
        <v>2015</v>
      </c>
      <c r="B68">
        <v>5</v>
      </c>
      <c r="C68">
        <v>24</v>
      </c>
      <c r="D68">
        <v>23</v>
      </c>
      <c r="E68">
        <v>107.05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1">
        <f t="shared" si="2"/>
        <v>0</v>
      </c>
      <c r="M68">
        <f t="shared" si="3"/>
        <v>0.72560283327402397</v>
      </c>
    </row>
    <row r="69" spans="1:13">
      <c r="A69">
        <v>2015</v>
      </c>
      <c r="B69">
        <v>5</v>
      </c>
      <c r="C69">
        <v>25</v>
      </c>
      <c r="D69">
        <v>0</v>
      </c>
      <c r="E69">
        <v>117.51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f t="shared" ref="L69:L100" si="4">F69*$F$2+G69*$G$2+H69*$H$2+I69*$I$2+J69*$J$2+K69*$K$2</f>
        <v>0</v>
      </c>
      <c r="M69">
        <f t="shared" ref="M69:M100" si="5">E69*3600/(1000*$L$1)</f>
        <v>0.79650246555843596</v>
      </c>
    </row>
    <row r="70" spans="1:13">
      <c r="A70">
        <v>2015</v>
      </c>
      <c r="B70">
        <v>5</v>
      </c>
      <c r="C70">
        <v>25</v>
      </c>
      <c r="D70">
        <v>1</v>
      </c>
      <c r="E70">
        <v>123.9</v>
      </c>
      <c r="F70">
        <v>0</v>
      </c>
      <c r="G70">
        <v>1</v>
      </c>
      <c r="H70">
        <v>3</v>
      </c>
      <c r="I70">
        <v>0</v>
      </c>
      <c r="J70">
        <v>0</v>
      </c>
      <c r="K70">
        <v>0</v>
      </c>
      <c r="L70" s="1">
        <f t="shared" si="4"/>
        <v>0.76616075177409204</v>
      </c>
      <c r="M70">
        <f t="shared" si="5"/>
        <v>0.83981495602663803</v>
      </c>
    </row>
    <row r="71" spans="1:13">
      <c r="A71">
        <v>2015</v>
      </c>
      <c r="B71">
        <v>5</v>
      </c>
      <c r="C71">
        <v>25</v>
      </c>
      <c r="D71">
        <v>2</v>
      </c>
      <c r="E71">
        <v>122.2</v>
      </c>
      <c r="F71">
        <v>0.5</v>
      </c>
      <c r="G71">
        <v>2</v>
      </c>
      <c r="H71">
        <v>0.5</v>
      </c>
      <c r="I71">
        <v>1.5</v>
      </c>
      <c r="J71">
        <v>1</v>
      </c>
      <c r="K71">
        <v>0</v>
      </c>
      <c r="L71" s="1">
        <f t="shared" si="4"/>
        <v>1.03909778824628</v>
      </c>
      <c r="M71">
        <f t="shared" si="5"/>
        <v>0.82829207123854098</v>
      </c>
    </row>
    <row r="72" spans="1:13">
      <c r="A72">
        <v>2015</v>
      </c>
      <c r="B72">
        <v>5</v>
      </c>
      <c r="C72">
        <v>25</v>
      </c>
      <c r="D72">
        <v>3</v>
      </c>
      <c r="E72">
        <v>123.48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1">
        <f t="shared" si="4"/>
        <v>0</v>
      </c>
      <c r="M72">
        <f t="shared" si="5"/>
        <v>0.836968125667226</v>
      </c>
    </row>
    <row r="73" spans="1:13">
      <c r="A73">
        <v>2015</v>
      </c>
      <c r="B73">
        <v>5</v>
      </c>
      <c r="C73">
        <v>25</v>
      </c>
      <c r="D73">
        <v>4</v>
      </c>
      <c r="E73">
        <v>121.64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1">
        <f t="shared" si="4"/>
        <v>0</v>
      </c>
      <c r="M73">
        <f t="shared" si="5"/>
        <v>0.82449629742599095</v>
      </c>
    </row>
    <row r="74" spans="1:13">
      <c r="A74">
        <v>2015</v>
      </c>
      <c r="B74">
        <v>5</v>
      </c>
      <c r="C74">
        <v>25</v>
      </c>
      <c r="D74">
        <v>5</v>
      </c>
      <c r="E74">
        <v>104.48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1">
        <f t="shared" si="4"/>
        <v>0</v>
      </c>
      <c r="M74">
        <f t="shared" si="5"/>
        <v>0.70818294274143001</v>
      </c>
    </row>
    <row r="75" spans="1:13">
      <c r="A75">
        <v>2015</v>
      </c>
      <c r="B75">
        <v>5</v>
      </c>
      <c r="C75">
        <v>25</v>
      </c>
      <c r="D75">
        <v>6</v>
      </c>
      <c r="E75">
        <v>94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1">
        <f t="shared" si="4"/>
        <v>0</v>
      </c>
      <c r="M75">
        <f t="shared" si="5"/>
        <v>0.63714774710656996</v>
      </c>
    </row>
    <row r="76" spans="1:13">
      <c r="A76">
        <v>2015</v>
      </c>
      <c r="B76">
        <v>5</v>
      </c>
      <c r="C76">
        <v>25</v>
      </c>
      <c r="D76">
        <v>7</v>
      </c>
      <c r="E76">
        <v>88.41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1">
        <f t="shared" si="4"/>
        <v>0</v>
      </c>
      <c r="M76">
        <f t="shared" si="5"/>
        <v>0.59925779065629603</v>
      </c>
    </row>
    <row r="77" spans="1:13">
      <c r="A77">
        <v>2015</v>
      </c>
      <c r="B77">
        <v>5</v>
      </c>
      <c r="C77">
        <v>25</v>
      </c>
      <c r="D77">
        <v>8</v>
      </c>
      <c r="E77">
        <v>88.1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1">
        <f t="shared" si="4"/>
        <v>0</v>
      </c>
      <c r="M77">
        <f t="shared" si="5"/>
        <v>0.59715655872434903</v>
      </c>
    </row>
    <row r="78" spans="1:13">
      <c r="A78">
        <v>2015</v>
      </c>
      <c r="B78">
        <v>5</v>
      </c>
      <c r="C78">
        <v>25</v>
      </c>
      <c r="D78">
        <v>9</v>
      </c>
      <c r="E78">
        <v>93.61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f t="shared" si="4"/>
        <v>0</v>
      </c>
      <c r="M78">
        <f t="shared" si="5"/>
        <v>0.63450426177283004</v>
      </c>
    </row>
    <row r="79" spans="1:13">
      <c r="A79">
        <v>2015</v>
      </c>
      <c r="B79">
        <v>5</v>
      </c>
      <c r="C79">
        <v>25</v>
      </c>
      <c r="D79">
        <v>10</v>
      </c>
      <c r="E79">
        <v>101.2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1">
        <f t="shared" si="4"/>
        <v>0</v>
      </c>
      <c r="M79">
        <f t="shared" si="5"/>
        <v>0.68595055326792398</v>
      </c>
    </row>
    <row r="80" spans="1:13">
      <c r="A80">
        <v>2015</v>
      </c>
      <c r="B80">
        <v>5</v>
      </c>
      <c r="C80">
        <v>25</v>
      </c>
      <c r="D80">
        <v>11</v>
      </c>
      <c r="E80">
        <v>106.14</v>
      </c>
      <c r="F80">
        <v>0</v>
      </c>
      <c r="G80">
        <v>1.5</v>
      </c>
      <c r="H80">
        <v>0.83</v>
      </c>
      <c r="I80">
        <v>0.5</v>
      </c>
      <c r="J80">
        <v>0</v>
      </c>
      <c r="K80">
        <v>0.5</v>
      </c>
      <c r="L80" s="1">
        <f t="shared" si="4"/>
        <v>0.714226149793737</v>
      </c>
      <c r="M80">
        <f t="shared" si="5"/>
        <v>0.71943470082863104</v>
      </c>
    </row>
    <row r="81" spans="1:13">
      <c r="A81">
        <v>2015</v>
      </c>
      <c r="B81">
        <v>5</v>
      </c>
      <c r="C81">
        <v>25</v>
      </c>
      <c r="D81">
        <v>12</v>
      </c>
      <c r="E81">
        <v>103.72</v>
      </c>
      <c r="F81">
        <v>0.5</v>
      </c>
      <c r="G81">
        <v>0</v>
      </c>
      <c r="H81">
        <v>1.67</v>
      </c>
      <c r="I81">
        <v>0</v>
      </c>
      <c r="J81">
        <v>0</v>
      </c>
      <c r="K81">
        <v>0</v>
      </c>
      <c r="L81" s="1">
        <f t="shared" si="4"/>
        <v>0.37282623226144201</v>
      </c>
      <c r="M81">
        <f t="shared" si="5"/>
        <v>0.703031535424398</v>
      </c>
    </row>
    <row r="82" spans="1:13">
      <c r="A82">
        <v>2015</v>
      </c>
      <c r="B82">
        <v>5</v>
      </c>
      <c r="C82">
        <v>25</v>
      </c>
      <c r="D82">
        <v>13</v>
      </c>
      <c r="E82">
        <v>89.23</v>
      </c>
      <c r="F82">
        <v>0</v>
      </c>
      <c r="G82">
        <v>0</v>
      </c>
      <c r="H82">
        <v>0</v>
      </c>
      <c r="I82">
        <v>0.5</v>
      </c>
      <c r="J82">
        <v>0</v>
      </c>
      <c r="K82">
        <v>0</v>
      </c>
      <c r="L82" s="1">
        <f t="shared" si="4"/>
        <v>6.5590067725190507E-2</v>
      </c>
      <c r="M82">
        <f t="shared" si="5"/>
        <v>0.60481588802467301</v>
      </c>
    </row>
    <row r="83" spans="1:13">
      <c r="A83">
        <v>2015</v>
      </c>
      <c r="B83">
        <v>5</v>
      </c>
      <c r="C83">
        <v>25</v>
      </c>
      <c r="D83">
        <v>14</v>
      </c>
      <c r="E83">
        <v>73.260000000000005</v>
      </c>
      <c r="F83">
        <v>0.5</v>
      </c>
      <c r="G83">
        <v>20.5</v>
      </c>
      <c r="H83">
        <v>8.5</v>
      </c>
      <c r="I83">
        <v>17.5</v>
      </c>
      <c r="J83">
        <v>6.5</v>
      </c>
      <c r="K83">
        <v>2.5</v>
      </c>
      <c r="L83" s="1">
        <f t="shared" si="4"/>
        <v>10.5572416247268</v>
      </c>
      <c r="M83">
        <f t="shared" si="5"/>
        <v>0.49656855269178002</v>
      </c>
    </row>
    <row r="84" spans="1:13">
      <c r="A84">
        <v>2015</v>
      </c>
      <c r="B84">
        <v>5</v>
      </c>
      <c r="C84">
        <v>25</v>
      </c>
      <c r="D84">
        <v>15</v>
      </c>
      <c r="E84">
        <v>170.94</v>
      </c>
      <c r="F84">
        <v>0</v>
      </c>
      <c r="G84">
        <v>0.5</v>
      </c>
      <c r="H84">
        <v>11.5</v>
      </c>
      <c r="I84">
        <v>0.5</v>
      </c>
      <c r="J84">
        <v>0.5</v>
      </c>
      <c r="K84">
        <v>0</v>
      </c>
      <c r="L84" s="1">
        <f t="shared" si="4"/>
        <v>2.0224715081611002</v>
      </c>
      <c r="M84">
        <f t="shared" si="5"/>
        <v>1.15865995628082</v>
      </c>
    </row>
    <row r="85" spans="1:13">
      <c r="A85">
        <v>2015</v>
      </c>
      <c r="B85">
        <v>5</v>
      </c>
      <c r="C85">
        <v>25</v>
      </c>
      <c r="D85">
        <v>16</v>
      </c>
      <c r="E85">
        <v>146</v>
      </c>
      <c r="F85">
        <v>0.5</v>
      </c>
      <c r="G85">
        <v>0</v>
      </c>
      <c r="H85">
        <v>0</v>
      </c>
      <c r="I85">
        <v>0</v>
      </c>
      <c r="J85">
        <v>0</v>
      </c>
      <c r="K85">
        <v>0</v>
      </c>
      <c r="L85" s="1">
        <f t="shared" si="4"/>
        <v>0.114033254442995</v>
      </c>
      <c r="M85">
        <f t="shared" si="5"/>
        <v>0.98961245827190603</v>
      </c>
    </row>
    <row r="86" spans="1:13">
      <c r="A86">
        <v>2015</v>
      </c>
      <c r="B86">
        <v>5</v>
      </c>
      <c r="C86">
        <v>25</v>
      </c>
      <c r="D86">
        <v>17</v>
      </c>
      <c r="E86">
        <v>144.41999999999999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1">
        <f t="shared" si="4"/>
        <v>0</v>
      </c>
      <c r="M86">
        <f t="shared" si="5"/>
        <v>0.97890295358649804</v>
      </c>
    </row>
    <row r="87" spans="1:13">
      <c r="A87">
        <v>2015</v>
      </c>
      <c r="B87">
        <v>5</v>
      </c>
      <c r="C87">
        <v>25</v>
      </c>
      <c r="D87">
        <v>18</v>
      </c>
      <c r="E87">
        <v>94.65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1">
        <f t="shared" si="4"/>
        <v>0</v>
      </c>
      <c r="M87">
        <f t="shared" si="5"/>
        <v>0.64155355599613595</v>
      </c>
    </row>
    <row r="88" spans="1:13">
      <c r="A88">
        <v>2015</v>
      </c>
      <c r="B88">
        <v>5</v>
      </c>
      <c r="C88">
        <v>25</v>
      </c>
      <c r="D88">
        <v>19</v>
      </c>
      <c r="E88">
        <v>57.7</v>
      </c>
      <c r="F88">
        <v>0</v>
      </c>
      <c r="G88">
        <v>0.33</v>
      </c>
      <c r="H88">
        <v>0.5</v>
      </c>
      <c r="I88">
        <v>0</v>
      </c>
      <c r="J88">
        <v>0</v>
      </c>
      <c r="K88">
        <v>0</v>
      </c>
      <c r="L88" s="1">
        <f t="shared" si="4"/>
        <v>0.176899779144708</v>
      </c>
      <c r="M88">
        <f t="shared" si="5"/>
        <v>0.39110026604307502</v>
      </c>
    </row>
    <row r="89" spans="1:13">
      <c r="A89">
        <v>2015</v>
      </c>
      <c r="B89">
        <v>5</v>
      </c>
      <c r="C89">
        <v>25</v>
      </c>
      <c r="D89">
        <v>20</v>
      </c>
      <c r="E89">
        <v>136</v>
      </c>
      <c r="F89">
        <v>2.5</v>
      </c>
      <c r="G89">
        <v>0.67</v>
      </c>
      <c r="H89">
        <v>1</v>
      </c>
      <c r="I89">
        <v>1</v>
      </c>
      <c r="J89">
        <v>0.5</v>
      </c>
      <c r="K89">
        <v>3.5</v>
      </c>
      <c r="L89" s="1">
        <f t="shared" si="4"/>
        <v>1.5591386078773599</v>
      </c>
      <c r="M89">
        <f t="shared" si="5"/>
        <v>0.92183078304780297</v>
      </c>
    </row>
    <row r="90" spans="1:13">
      <c r="A90">
        <v>2015</v>
      </c>
      <c r="B90">
        <v>5</v>
      </c>
      <c r="C90">
        <v>25</v>
      </c>
      <c r="D90">
        <v>21</v>
      </c>
      <c r="E90">
        <v>148</v>
      </c>
      <c r="F90">
        <v>0</v>
      </c>
      <c r="G90">
        <v>0</v>
      </c>
      <c r="H90">
        <v>2.5</v>
      </c>
      <c r="I90">
        <v>0</v>
      </c>
      <c r="J90">
        <v>0</v>
      </c>
      <c r="K90">
        <v>0.5</v>
      </c>
      <c r="L90" s="1">
        <f t="shared" si="4"/>
        <v>0.45553427964083298</v>
      </c>
      <c r="M90">
        <f t="shared" si="5"/>
        <v>1.0031687933167299</v>
      </c>
    </row>
    <row r="91" spans="1:13">
      <c r="A91">
        <v>2015</v>
      </c>
      <c r="B91">
        <v>5</v>
      </c>
      <c r="C91">
        <v>25</v>
      </c>
      <c r="D91">
        <v>22</v>
      </c>
      <c r="E91">
        <v>86.43</v>
      </c>
      <c r="F91">
        <v>1</v>
      </c>
      <c r="G91">
        <v>1</v>
      </c>
      <c r="H91">
        <v>0</v>
      </c>
      <c r="I91">
        <v>0.5</v>
      </c>
      <c r="J91">
        <v>0.5</v>
      </c>
      <c r="K91">
        <v>0</v>
      </c>
      <c r="L91" s="1">
        <f t="shared" si="4"/>
        <v>0.61906227817976101</v>
      </c>
      <c r="M91">
        <f t="shared" si="5"/>
        <v>0.58583701896192397</v>
      </c>
    </row>
    <row r="92" spans="1:13">
      <c r="A92">
        <v>2015</v>
      </c>
      <c r="B92">
        <v>5</v>
      </c>
      <c r="C92">
        <v>25</v>
      </c>
      <c r="D92">
        <v>23</v>
      </c>
      <c r="E92">
        <v>61.6</v>
      </c>
      <c r="F92">
        <v>0</v>
      </c>
      <c r="G92">
        <v>3.5</v>
      </c>
      <c r="H92">
        <v>0.83</v>
      </c>
      <c r="I92">
        <v>7</v>
      </c>
      <c r="J92">
        <v>5</v>
      </c>
      <c r="K92">
        <v>4</v>
      </c>
      <c r="L92" s="1">
        <f t="shared" si="4"/>
        <v>2.88768604657731</v>
      </c>
      <c r="M92">
        <f t="shared" si="5"/>
        <v>0.41753511938047499</v>
      </c>
    </row>
    <row r="93" spans="1:13">
      <c r="A93">
        <v>2015</v>
      </c>
      <c r="B93">
        <v>5</v>
      </c>
      <c r="C93">
        <v>26</v>
      </c>
      <c r="D93">
        <v>0</v>
      </c>
      <c r="E93">
        <v>151</v>
      </c>
      <c r="F93">
        <v>14.5</v>
      </c>
      <c r="G93">
        <v>2.5</v>
      </c>
      <c r="H93">
        <v>1.67</v>
      </c>
      <c r="I93">
        <v>1</v>
      </c>
      <c r="J93">
        <v>2</v>
      </c>
      <c r="K93">
        <v>2.5</v>
      </c>
      <c r="L93" s="1">
        <f t="shared" si="4"/>
        <v>4.8872637290841698</v>
      </c>
      <c r="M93">
        <f t="shared" si="5"/>
        <v>1.0235032958839601</v>
      </c>
    </row>
    <row r="94" spans="1:13">
      <c r="A94">
        <v>2015</v>
      </c>
      <c r="B94">
        <v>5</v>
      </c>
      <c r="C94">
        <v>26</v>
      </c>
      <c r="D94">
        <v>1</v>
      </c>
      <c r="E94">
        <v>86.89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1">
        <f t="shared" si="4"/>
        <v>0</v>
      </c>
      <c r="M94">
        <f t="shared" si="5"/>
        <v>0.58895497602223201</v>
      </c>
    </row>
    <row r="95" spans="1:13">
      <c r="A95">
        <v>2015</v>
      </c>
      <c r="B95">
        <v>5</v>
      </c>
      <c r="C95">
        <v>26</v>
      </c>
      <c r="D95">
        <v>2</v>
      </c>
      <c r="E95">
        <v>56.14</v>
      </c>
      <c r="F95">
        <v>2.5</v>
      </c>
      <c r="G95">
        <v>0</v>
      </c>
      <c r="H95">
        <v>0</v>
      </c>
      <c r="I95">
        <v>0</v>
      </c>
      <c r="J95">
        <v>0</v>
      </c>
      <c r="K95">
        <v>0</v>
      </c>
      <c r="L95" s="1">
        <f t="shared" si="4"/>
        <v>0.57016627221497296</v>
      </c>
      <c r="M95">
        <f t="shared" si="5"/>
        <v>0.38052632470811498</v>
      </c>
    </row>
    <row r="96" spans="1:13">
      <c r="A96">
        <v>2015</v>
      </c>
      <c r="B96">
        <v>5</v>
      </c>
      <c r="C96">
        <v>26</v>
      </c>
      <c r="D96">
        <v>3</v>
      </c>
      <c r="E96">
        <v>114.28</v>
      </c>
      <c r="F96">
        <v>3</v>
      </c>
      <c r="G96">
        <v>1.5</v>
      </c>
      <c r="H96">
        <v>1</v>
      </c>
      <c r="I96">
        <v>4</v>
      </c>
      <c r="J96">
        <v>0.67</v>
      </c>
      <c r="K96">
        <v>3</v>
      </c>
      <c r="L96" s="1">
        <f t="shared" si="4"/>
        <v>2.2568495265638302</v>
      </c>
      <c r="M96">
        <f t="shared" si="5"/>
        <v>0.77460898446105098</v>
      </c>
    </row>
    <row r="97" spans="1:13">
      <c r="A97">
        <v>2015</v>
      </c>
      <c r="B97">
        <v>5</v>
      </c>
      <c r="C97">
        <v>26</v>
      </c>
      <c r="D97">
        <v>4</v>
      </c>
      <c r="E97">
        <v>165.68</v>
      </c>
      <c r="F97">
        <v>0</v>
      </c>
      <c r="G97">
        <v>0</v>
      </c>
      <c r="H97">
        <v>0</v>
      </c>
      <c r="I97">
        <v>0</v>
      </c>
      <c r="J97">
        <v>1.33</v>
      </c>
      <c r="K97">
        <v>0</v>
      </c>
      <c r="L97" s="1">
        <f t="shared" si="4"/>
        <v>6.42190892025674E-2</v>
      </c>
      <c r="M97">
        <f t="shared" si="5"/>
        <v>1.1230067951129401</v>
      </c>
    </row>
    <row r="98" spans="1:13">
      <c r="A98">
        <v>2015</v>
      </c>
      <c r="B98">
        <v>5</v>
      </c>
      <c r="C98">
        <v>26</v>
      </c>
      <c r="D98">
        <v>5</v>
      </c>
      <c r="E98">
        <v>88.03</v>
      </c>
      <c r="F98">
        <v>2</v>
      </c>
      <c r="G98">
        <v>9</v>
      </c>
      <c r="H98">
        <v>1.5</v>
      </c>
      <c r="I98">
        <v>1</v>
      </c>
      <c r="J98">
        <v>0</v>
      </c>
      <c r="K98">
        <v>0</v>
      </c>
      <c r="L98" s="1">
        <f t="shared" si="4"/>
        <v>3.5311306171709802</v>
      </c>
      <c r="M98">
        <f t="shared" si="5"/>
        <v>0.59668208699778003</v>
      </c>
    </row>
    <row r="99" spans="1:13">
      <c r="A99">
        <v>2015</v>
      </c>
      <c r="B99">
        <v>5</v>
      </c>
      <c r="C99">
        <v>26</v>
      </c>
      <c r="D99">
        <v>6</v>
      </c>
      <c r="E99">
        <v>77.44</v>
      </c>
      <c r="F99">
        <v>0</v>
      </c>
      <c r="G99">
        <v>15</v>
      </c>
      <c r="H99">
        <v>11.5</v>
      </c>
      <c r="I99">
        <v>2</v>
      </c>
      <c r="J99">
        <v>2.5</v>
      </c>
      <c r="K99">
        <v>0.5</v>
      </c>
      <c r="L99" s="1">
        <f t="shared" si="4"/>
        <v>6.7522476215221996</v>
      </c>
      <c r="M99">
        <f t="shared" si="5"/>
        <v>0.52490129293545496</v>
      </c>
    </row>
    <row r="100" spans="1:13">
      <c r="A100">
        <v>2015</v>
      </c>
      <c r="B100">
        <v>5</v>
      </c>
      <c r="C100">
        <v>26</v>
      </c>
      <c r="D100">
        <v>7</v>
      </c>
      <c r="E100">
        <v>57.2</v>
      </c>
      <c r="F100">
        <v>0</v>
      </c>
      <c r="G100">
        <v>0</v>
      </c>
      <c r="H100">
        <v>2.5</v>
      </c>
      <c r="I100">
        <v>0</v>
      </c>
      <c r="J100">
        <v>0</v>
      </c>
      <c r="K100">
        <v>0</v>
      </c>
      <c r="L100" s="1">
        <f t="shared" si="4"/>
        <v>0.387414637452765</v>
      </c>
      <c r="M100">
        <f t="shared" si="5"/>
        <v>0.38771118228187001</v>
      </c>
    </row>
    <row r="101" spans="1:13">
      <c r="A101">
        <v>2015</v>
      </c>
      <c r="B101">
        <v>5</v>
      </c>
      <c r="C101">
        <v>26</v>
      </c>
      <c r="D101">
        <v>8</v>
      </c>
      <c r="E101">
        <v>97.6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1">
        <f t="shared" ref="L101:L133" si="6">F101*$F$2+G101*$G$2+H101*$H$2+I101*$I$2+J101*$J$2+K101*$K$2</f>
        <v>0</v>
      </c>
      <c r="M101">
        <f t="shared" ref="M101:M132" si="7">E101*3600/(1000*$L$1)</f>
        <v>0.66154915018724703</v>
      </c>
    </row>
    <row r="102" spans="1:13">
      <c r="A102">
        <v>2015</v>
      </c>
      <c r="B102">
        <v>5</v>
      </c>
      <c r="C102">
        <v>26</v>
      </c>
      <c r="D102">
        <v>9</v>
      </c>
      <c r="E102">
        <v>137.66999999999999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1">
        <f t="shared" si="6"/>
        <v>0</v>
      </c>
      <c r="M102">
        <f t="shared" si="7"/>
        <v>0.93315032281022803</v>
      </c>
    </row>
    <row r="103" spans="1:13">
      <c r="A103">
        <v>2015</v>
      </c>
      <c r="B103">
        <v>5</v>
      </c>
      <c r="C103">
        <v>26</v>
      </c>
      <c r="D103">
        <v>10</v>
      </c>
      <c r="E103">
        <v>130.27000000000001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">
        <f t="shared" si="6"/>
        <v>0</v>
      </c>
      <c r="M103">
        <f t="shared" si="7"/>
        <v>0.88299188314439203</v>
      </c>
    </row>
    <row r="104" spans="1:13">
      <c r="A104">
        <v>2015</v>
      </c>
      <c r="B104">
        <v>5</v>
      </c>
      <c r="C104">
        <v>26</v>
      </c>
      <c r="D104">
        <v>11</v>
      </c>
      <c r="E104">
        <v>130.94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1">
        <f t="shared" si="6"/>
        <v>0</v>
      </c>
      <c r="M104">
        <f t="shared" si="7"/>
        <v>0.88753325538440697</v>
      </c>
    </row>
    <row r="105" spans="1:13">
      <c r="A105">
        <v>2015</v>
      </c>
      <c r="B105">
        <v>5</v>
      </c>
      <c r="C105">
        <v>26</v>
      </c>
      <c r="D105">
        <v>12</v>
      </c>
      <c r="E105">
        <v>133.76</v>
      </c>
      <c r="F105">
        <v>9</v>
      </c>
      <c r="G105">
        <v>2.5</v>
      </c>
      <c r="H105">
        <v>0</v>
      </c>
      <c r="I105">
        <v>0</v>
      </c>
      <c r="J105">
        <v>0</v>
      </c>
      <c r="K105">
        <v>7.5</v>
      </c>
      <c r="L105" s="1">
        <f t="shared" si="6"/>
        <v>3.8275511798718602</v>
      </c>
      <c r="M105">
        <f t="shared" si="7"/>
        <v>0.90664768779760396</v>
      </c>
    </row>
    <row r="106" spans="1:13">
      <c r="A106">
        <v>2015</v>
      </c>
      <c r="B106">
        <v>5</v>
      </c>
      <c r="C106">
        <v>26</v>
      </c>
      <c r="D106">
        <v>13</v>
      </c>
      <c r="E106">
        <v>151</v>
      </c>
      <c r="F106">
        <v>0</v>
      </c>
      <c r="G106">
        <v>4.5</v>
      </c>
      <c r="H106">
        <v>24</v>
      </c>
      <c r="I106">
        <v>0</v>
      </c>
      <c r="J106">
        <v>1</v>
      </c>
      <c r="K106">
        <v>0</v>
      </c>
      <c r="L106" s="1">
        <f t="shared" si="6"/>
        <v>5.12314988976064</v>
      </c>
      <c r="M106">
        <f t="shared" si="7"/>
        <v>1.0235032958839601</v>
      </c>
    </row>
    <row r="107" spans="1:13">
      <c r="A107">
        <v>2015</v>
      </c>
      <c r="B107">
        <v>5</v>
      </c>
      <c r="C107">
        <v>26</v>
      </c>
      <c r="D107">
        <v>14</v>
      </c>
      <c r="E107">
        <v>141.71</v>
      </c>
      <c r="F107">
        <v>13.5</v>
      </c>
      <c r="G107">
        <v>0</v>
      </c>
      <c r="H107">
        <v>0.5</v>
      </c>
      <c r="I107">
        <v>0.5</v>
      </c>
      <c r="J107">
        <v>0</v>
      </c>
      <c r="K107">
        <v>2</v>
      </c>
      <c r="L107" s="1">
        <f t="shared" si="6"/>
        <v>3.4944494339288701</v>
      </c>
      <c r="M107">
        <f t="shared" si="7"/>
        <v>0.96053411960076596</v>
      </c>
    </row>
    <row r="108" spans="1:13">
      <c r="A108">
        <v>2015</v>
      </c>
      <c r="B108">
        <v>5</v>
      </c>
      <c r="C108">
        <v>26</v>
      </c>
      <c r="D108">
        <v>15</v>
      </c>
      <c r="E108">
        <v>119.43</v>
      </c>
      <c r="F108">
        <v>7</v>
      </c>
      <c r="G108">
        <v>0</v>
      </c>
      <c r="H108">
        <v>0</v>
      </c>
      <c r="I108">
        <v>1</v>
      </c>
      <c r="J108">
        <v>0.5</v>
      </c>
      <c r="K108">
        <v>5.5</v>
      </c>
      <c r="L108" s="1">
        <f t="shared" si="6"/>
        <v>2.50110427645886</v>
      </c>
      <c r="M108">
        <f t="shared" si="7"/>
        <v>0.80951654720146404</v>
      </c>
    </row>
    <row r="109" spans="1:13">
      <c r="A109">
        <v>2015</v>
      </c>
      <c r="B109">
        <v>5</v>
      </c>
      <c r="C109">
        <v>26</v>
      </c>
      <c r="D109">
        <v>16</v>
      </c>
      <c r="E109">
        <v>116.38</v>
      </c>
      <c r="F109">
        <v>1.5</v>
      </c>
      <c r="G109">
        <v>0</v>
      </c>
      <c r="H109">
        <v>0</v>
      </c>
      <c r="I109">
        <v>0</v>
      </c>
      <c r="J109">
        <v>0</v>
      </c>
      <c r="K109">
        <v>0.5</v>
      </c>
      <c r="L109" s="1">
        <f t="shared" si="6"/>
        <v>0.41021940551705099</v>
      </c>
      <c r="M109">
        <f t="shared" si="7"/>
        <v>0.78884313625811298</v>
      </c>
    </row>
    <row r="110" spans="1:13">
      <c r="A110">
        <v>2015</v>
      </c>
      <c r="B110">
        <v>5</v>
      </c>
      <c r="C110">
        <v>26</v>
      </c>
      <c r="D110">
        <v>17</v>
      </c>
      <c r="E110">
        <v>127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1">
        <f t="shared" si="6"/>
        <v>0</v>
      </c>
      <c r="M110">
        <f t="shared" si="7"/>
        <v>0.86082727534611003</v>
      </c>
    </row>
    <row r="111" spans="1:13">
      <c r="A111">
        <v>2015</v>
      </c>
      <c r="B111">
        <v>5</v>
      </c>
      <c r="C111">
        <v>26</v>
      </c>
      <c r="D111">
        <v>18</v>
      </c>
      <c r="E111">
        <v>135.99</v>
      </c>
      <c r="F111">
        <v>0</v>
      </c>
      <c r="G111">
        <v>0.5</v>
      </c>
      <c r="H111">
        <v>0</v>
      </c>
      <c r="I111">
        <v>0</v>
      </c>
      <c r="J111">
        <v>0</v>
      </c>
      <c r="K111">
        <v>0</v>
      </c>
      <c r="L111" s="1">
        <f t="shared" si="6"/>
        <v>0.15063159341538701</v>
      </c>
      <c r="M111">
        <f t="shared" si="7"/>
        <v>0.92176300137257905</v>
      </c>
    </row>
    <row r="112" spans="1:13">
      <c r="A112">
        <v>2015</v>
      </c>
      <c r="B112">
        <v>5</v>
      </c>
      <c r="C112">
        <v>26</v>
      </c>
      <c r="D112">
        <v>19</v>
      </c>
      <c r="E112">
        <v>141.21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>
        <f t="shared" si="6"/>
        <v>0</v>
      </c>
      <c r="M112">
        <f t="shared" si="7"/>
        <v>0.95714503583956101</v>
      </c>
    </row>
    <row r="113" spans="1:13">
      <c r="A113">
        <v>2015</v>
      </c>
      <c r="B113">
        <v>5</v>
      </c>
      <c r="C113">
        <v>26</v>
      </c>
      <c r="D113">
        <v>20</v>
      </c>
      <c r="E113">
        <v>142.02000000000001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1">
        <f t="shared" si="6"/>
        <v>0</v>
      </c>
      <c r="M113">
        <f t="shared" si="7"/>
        <v>0.96263535153271296</v>
      </c>
    </row>
    <row r="114" spans="1:13">
      <c r="A114">
        <v>2015</v>
      </c>
      <c r="B114">
        <v>5</v>
      </c>
      <c r="C114">
        <v>26</v>
      </c>
      <c r="D114">
        <v>21</v>
      </c>
      <c r="E114">
        <v>137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1">
        <f t="shared" si="6"/>
        <v>0</v>
      </c>
      <c r="M114">
        <f t="shared" si="7"/>
        <v>0.92860895057021298</v>
      </c>
    </row>
    <row r="115" spans="1:13">
      <c r="A115">
        <v>2015</v>
      </c>
      <c r="B115">
        <v>5</v>
      </c>
      <c r="C115">
        <v>26</v>
      </c>
      <c r="D115">
        <v>22</v>
      </c>
      <c r="E115">
        <v>116.81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1">
        <f t="shared" si="6"/>
        <v>0</v>
      </c>
      <c r="M115">
        <f t="shared" si="7"/>
        <v>0.79175774829274903</v>
      </c>
    </row>
    <row r="116" spans="1:13">
      <c r="A116">
        <v>2015</v>
      </c>
      <c r="B116">
        <v>5</v>
      </c>
      <c r="C116">
        <v>26</v>
      </c>
      <c r="D116">
        <v>23</v>
      </c>
      <c r="E116">
        <v>108</v>
      </c>
      <c r="F116">
        <v>0</v>
      </c>
      <c r="G116">
        <v>0</v>
      </c>
      <c r="H116">
        <v>0</v>
      </c>
      <c r="I116">
        <v>0.5</v>
      </c>
      <c r="J116">
        <v>0</v>
      </c>
      <c r="K116">
        <v>0</v>
      </c>
      <c r="L116" s="1">
        <f t="shared" si="6"/>
        <v>6.5590067725190507E-2</v>
      </c>
      <c r="M116">
        <f t="shared" si="7"/>
        <v>0.73204209242031404</v>
      </c>
    </row>
    <row r="117" spans="1:13">
      <c r="A117">
        <v>2015</v>
      </c>
      <c r="B117">
        <v>5</v>
      </c>
      <c r="C117">
        <v>27</v>
      </c>
      <c r="D117">
        <v>0</v>
      </c>
      <c r="E117">
        <v>82.7</v>
      </c>
      <c r="F117">
        <v>0</v>
      </c>
      <c r="G117">
        <v>0</v>
      </c>
      <c r="H117">
        <v>0.5</v>
      </c>
      <c r="I117">
        <v>0</v>
      </c>
      <c r="J117">
        <v>0</v>
      </c>
      <c r="K117">
        <v>0</v>
      </c>
      <c r="L117" s="1">
        <f t="shared" si="6"/>
        <v>7.7482927490552994E-2</v>
      </c>
      <c r="M117">
        <f t="shared" si="7"/>
        <v>0.56055445410333304</v>
      </c>
    </row>
    <row r="118" spans="1:13">
      <c r="A118">
        <v>2015</v>
      </c>
      <c r="B118">
        <v>5</v>
      </c>
      <c r="C118">
        <v>27</v>
      </c>
      <c r="D118">
        <v>1</v>
      </c>
      <c r="E118">
        <v>89.65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1">
        <f t="shared" si="6"/>
        <v>0</v>
      </c>
      <c r="M118">
        <f t="shared" si="7"/>
        <v>0.60766271838408503</v>
      </c>
    </row>
    <row r="119" spans="1:13">
      <c r="A119">
        <v>2015</v>
      </c>
      <c r="B119">
        <v>5</v>
      </c>
      <c r="C119">
        <v>27</v>
      </c>
      <c r="D119">
        <v>2</v>
      </c>
      <c r="E119">
        <v>107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1">
        <f t="shared" si="6"/>
        <v>0</v>
      </c>
      <c r="M119">
        <f t="shared" si="7"/>
        <v>0.72526392489790403</v>
      </c>
    </row>
    <row r="120" spans="1:13">
      <c r="A120">
        <v>2015</v>
      </c>
      <c r="B120">
        <v>5</v>
      </c>
      <c r="C120">
        <v>27</v>
      </c>
      <c r="D120">
        <v>3</v>
      </c>
      <c r="E120">
        <v>129.30000000000001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1">
        <f t="shared" si="6"/>
        <v>0</v>
      </c>
      <c r="M120">
        <f t="shared" si="7"/>
        <v>0.87641706064765401</v>
      </c>
    </row>
    <row r="121" spans="1:13">
      <c r="A121">
        <v>2015</v>
      </c>
      <c r="B121">
        <v>5</v>
      </c>
      <c r="C121">
        <v>27</v>
      </c>
      <c r="D121">
        <v>4</v>
      </c>
      <c r="E121">
        <v>127.45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1">
        <f t="shared" si="6"/>
        <v>0</v>
      </c>
      <c r="M121">
        <f t="shared" si="7"/>
        <v>0.86387745073119504</v>
      </c>
    </row>
    <row r="122" spans="1:13">
      <c r="A122">
        <v>2015</v>
      </c>
      <c r="B122">
        <v>5</v>
      </c>
      <c r="C122">
        <v>27</v>
      </c>
      <c r="D122">
        <v>5</v>
      </c>
      <c r="E122">
        <v>111.02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1">
        <f t="shared" si="6"/>
        <v>0</v>
      </c>
      <c r="M122">
        <f t="shared" si="7"/>
        <v>0.75251215833799301</v>
      </c>
    </row>
    <row r="123" spans="1:13">
      <c r="A123">
        <v>2015</v>
      </c>
      <c r="B123">
        <v>5</v>
      </c>
      <c r="C123">
        <v>27</v>
      </c>
      <c r="D123">
        <v>6</v>
      </c>
      <c r="E123">
        <v>89.96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0.5</v>
      </c>
      <c r="L123" s="1">
        <f t="shared" si="6"/>
        <v>6.8119642188068E-2</v>
      </c>
      <c r="M123">
        <f t="shared" si="7"/>
        <v>0.60976395031603203</v>
      </c>
    </row>
    <row r="124" spans="1:13">
      <c r="A124">
        <v>2015</v>
      </c>
      <c r="B124">
        <v>5</v>
      </c>
      <c r="C124">
        <v>27</v>
      </c>
      <c r="D124">
        <v>7</v>
      </c>
      <c r="E124">
        <v>74.209999999999994</v>
      </c>
      <c r="F124">
        <v>1.5</v>
      </c>
      <c r="G124">
        <v>0</v>
      </c>
      <c r="H124">
        <v>0</v>
      </c>
      <c r="I124">
        <v>0</v>
      </c>
      <c r="J124">
        <v>0</v>
      </c>
      <c r="K124">
        <v>0</v>
      </c>
      <c r="L124" s="1">
        <f t="shared" si="6"/>
        <v>0.34209976332898401</v>
      </c>
      <c r="M124">
        <f t="shared" si="7"/>
        <v>0.50300781183806997</v>
      </c>
    </row>
    <row r="125" spans="1:13">
      <c r="A125">
        <v>2015</v>
      </c>
      <c r="B125">
        <v>5</v>
      </c>
      <c r="C125">
        <v>27</v>
      </c>
      <c r="D125">
        <v>8</v>
      </c>
      <c r="E125">
        <v>73.7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 s="1">
        <f t="shared" si="6"/>
        <v>0.136239284376136</v>
      </c>
      <c r="M125">
        <f t="shared" si="7"/>
        <v>0.49955094640163999</v>
      </c>
    </row>
    <row r="126" spans="1:13">
      <c r="A126">
        <v>2015</v>
      </c>
      <c r="B126">
        <v>5</v>
      </c>
      <c r="C126">
        <v>27</v>
      </c>
      <c r="D126">
        <v>9</v>
      </c>
      <c r="E126">
        <v>94.24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1">
        <f t="shared" si="6"/>
        <v>0</v>
      </c>
      <c r="M126">
        <f t="shared" si="7"/>
        <v>0.63877450731194796</v>
      </c>
    </row>
    <row r="127" spans="1:13">
      <c r="A127">
        <v>2015</v>
      </c>
      <c r="B127">
        <v>5</v>
      </c>
      <c r="C127">
        <v>27</v>
      </c>
      <c r="D127">
        <v>10</v>
      </c>
      <c r="E127">
        <v>87.83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1">
        <f t="shared" si="6"/>
        <v>0</v>
      </c>
      <c r="M127">
        <f t="shared" si="7"/>
        <v>0.59532645349329805</v>
      </c>
    </row>
    <row r="128" spans="1:13">
      <c r="A128">
        <v>2015</v>
      </c>
      <c r="B128">
        <v>5</v>
      </c>
      <c r="C128">
        <v>27</v>
      </c>
      <c r="D128">
        <v>11</v>
      </c>
      <c r="E128">
        <v>73.61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s="1">
        <f t="shared" si="6"/>
        <v>0</v>
      </c>
      <c r="M128">
        <f t="shared" si="7"/>
        <v>0.49894091132462298</v>
      </c>
    </row>
    <row r="129" spans="1:13">
      <c r="A129">
        <v>2015</v>
      </c>
      <c r="B129">
        <v>5</v>
      </c>
      <c r="C129">
        <v>27</v>
      </c>
      <c r="D129">
        <v>12</v>
      </c>
      <c r="E129">
        <v>79.14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s="1">
        <f t="shared" si="6"/>
        <v>0</v>
      </c>
      <c r="M129">
        <f t="shared" si="7"/>
        <v>0.536424177723552</v>
      </c>
    </row>
    <row r="130" spans="1:13">
      <c r="A130">
        <v>2015</v>
      </c>
      <c r="B130">
        <v>5</v>
      </c>
      <c r="C130">
        <v>27</v>
      </c>
      <c r="D130">
        <v>13</v>
      </c>
      <c r="E130">
        <v>87.93</v>
      </c>
      <c r="F130">
        <v>0</v>
      </c>
      <c r="G130">
        <v>0.67</v>
      </c>
      <c r="H130">
        <v>0</v>
      </c>
      <c r="I130">
        <v>0</v>
      </c>
      <c r="J130">
        <v>1</v>
      </c>
      <c r="K130">
        <v>0</v>
      </c>
      <c r="L130" s="1">
        <f t="shared" si="6"/>
        <v>0.25013136465223301</v>
      </c>
      <c r="M130">
        <f t="shared" si="7"/>
        <v>0.59600427024553904</v>
      </c>
    </row>
    <row r="131" spans="1:13">
      <c r="A131">
        <v>2015</v>
      </c>
      <c r="B131">
        <v>5</v>
      </c>
      <c r="C131">
        <v>27</v>
      </c>
      <c r="D131">
        <v>14</v>
      </c>
      <c r="E131">
        <v>82.36</v>
      </c>
      <c r="F131">
        <v>0.5</v>
      </c>
      <c r="G131">
        <v>1.33</v>
      </c>
      <c r="H131">
        <v>13.5</v>
      </c>
      <c r="I131">
        <v>0</v>
      </c>
      <c r="J131">
        <v>0</v>
      </c>
      <c r="K131">
        <v>2</v>
      </c>
      <c r="L131" s="1">
        <f t="shared" si="6"/>
        <v>2.87923090392513</v>
      </c>
      <c r="M131">
        <f t="shared" si="7"/>
        <v>0.55824987714571395</v>
      </c>
    </row>
    <row r="132" spans="1:13">
      <c r="A132">
        <v>2015</v>
      </c>
      <c r="B132">
        <v>5</v>
      </c>
      <c r="C132">
        <v>27</v>
      </c>
      <c r="D132">
        <v>15</v>
      </c>
      <c r="E132">
        <v>54.74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f t="shared" si="6"/>
        <v>0</v>
      </c>
      <c r="M132">
        <f t="shared" si="7"/>
        <v>0.37103689017674102</v>
      </c>
    </row>
    <row r="133" spans="1:13">
      <c r="A133">
        <v>2015</v>
      </c>
      <c r="B133">
        <v>5</v>
      </c>
      <c r="C133">
        <v>27</v>
      </c>
      <c r="D133">
        <v>16</v>
      </c>
      <c r="E133">
        <v>46.34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f t="shared" si="6"/>
        <v>0</v>
      </c>
      <c r="M133">
        <f>E133*3600/(1000*$L$1)</f>
        <v>0.31410028298849402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</sheetPr>
  <dimension ref="A1:M76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2016</v>
      </c>
      <c r="B4">
        <v>6</v>
      </c>
      <c r="C4">
        <v>12</v>
      </c>
      <c r="D4">
        <v>8</v>
      </c>
      <c r="E4">
        <v>45.9</v>
      </c>
      <c r="F4">
        <v>0</v>
      </c>
      <c r="G4">
        <v>1</v>
      </c>
      <c r="H4">
        <v>0</v>
      </c>
      <c r="I4">
        <v>1</v>
      </c>
      <c r="J4">
        <v>1.33</v>
      </c>
      <c r="K4">
        <v>0</v>
      </c>
      <c r="L4" s="1">
        <f>F4*$F$2+G4*$G$2+H4*$H$2+I4*$I$2+J4*$J$2+K4*$K$2</f>
        <v>0.49666241148372198</v>
      </c>
      <c r="M4">
        <f>E4*3600/(1000*$L$1)</f>
        <v>0.31111788927863399</v>
      </c>
    </row>
    <row r="5" spans="1:13">
      <c r="A5">
        <v>2016</v>
      </c>
      <c r="B5">
        <v>6</v>
      </c>
      <c r="C5">
        <v>12</v>
      </c>
      <c r="D5">
        <v>9</v>
      </c>
      <c r="E5">
        <v>25.92</v>
      </c>
      <c r="F5">
        <v>2.5</v>
      </c>
      <c r="G5">
        <v>2</v>
      </c>
      <c r="H5">
        <v>0.65</v>
      </c>
      <c r="I5">
        <v>2</v>
      </c>
      <c r="J5">
        <v>1.5</v>
      </c>
      <c r="K5">
        <v>2.5</v>
      </c>
      <c r="L5" s="1">
        <f t="shared" ref="L5:L36" si="0">F5*$F$2+G5*$G$2+H5*$H$2+I5*$I$2+J5*$J$2+K5*$K$2</f>
        <v>1.9488064776687599</v>
      </c>
      <c r="M5">
        <f t="shared" ref="M5:M36" si="1">E5*3600/(1000*$L$1)</f>
        <v>0.175690102180875</v>
      </c>
    </row>
    <row r="6" spans="1:13">
      <c r="A6">
        <v>2016</v>
      </c>
      <c r="B6">
        <v>6</v>
      </c>
      <c r="C6">
        <v>12</v>
      </c>
      <c r="D6">
        <v>10</v>
      </c>
      <c r="E6">
        <v>49.4</v>
      </c>
      <c r="F6">
        <v>0</v>
      </c>
      <c r="G6">
        <v>5.5</v>
      </c>
      <c r="H6">
        <v>1.3</v>
      </c>
      <c r="I6">
        <v>10</v>
      </c>
      <c r="J6">
        <v>11</v>
      </c>
      <c r="K6">
        <v>10.5</v>
      </c>
      <c r="L6" s="1">
        <f t="shared" si="0"/>
        <v>5.1318523037296897</v>
      </c>
      <c r="M6">
        <f t="shared" si="1"/>
        <v>0.33484147560707</v>
      </c>
    </row>
    <row r="7" spans="1:13">
      <c r="A7">
        <v>2016</v>
      </c>
      <c r="B7">
        <v>6</v>
      </c>
      <c r="C7">
        <v>12</v>
      </c>
      <c r="D7">
        <v>11</v>
      </c>
      <c r="E7">
        <v>88.58</v>
      </c>
      <c r="F7">
        <v>27.5</v>
      </c>
      <c r="G7">
        <v>7.5</v>
      </c>
      <c r="H7">
        <v>1.95</v>
      </c>
      <c r="I7">
        <v>10</v>
      </c>
      <c r="J7">
        <v>12</v>
      </c>
      <c r="K7">
        <v>16.5</v>
      </c>
      <c r="L7" s="1">
        <f t="shared" si="0"/>
        <v>12.972656213226101</v>
      </c>
      <c r="M7">
        <f t="shared" si="1"/>
        <v>0.60041007913510602</v>
      </c>
    </row>
    <row r="8" spans="1:13">
      <c r="A8">
        <v>2016</v>
      </c>
      <c r="B8">
        <v>6</v>
      </c>
      <c r="C8">
        <v>12</v>
      </c>
      <c r="D8">
        <v>12</v>
      </c>
      <c r="E8">
        <v>133.41999999999999</v>
      </c>
      <c r="F8">
        <v>11</v>
      </c>
      <c r="G8">
        <v>18</v>
      </c>
      <c r="H8">
        <v>2.61</v>
      </c>
      <c r="I8">
        <v>14.5</v>
      </c>
      <c r="J8">
        <v>15</v>
      </c>
      <c r="K8">
        <v>15.5</v>
      </c>
      <c r="L8" s="1">
        <f t="shared" si="0"/>
        <v>13.0740261561953</v>
      </c>
      <c r="M8">
        <f t="shared" si="1"/>
        <v>0.90434311083998398</v>
      </c>
    </row>
    <row r="9" spans="1:13">
      <c r="A9">
        <v>2016</v>
      </c>
      <c r="B9">
        <v>6</v>
      </c>
      <c r="C9">
        <v>12</v>
      </c>
      <c r="D9">
        <v>13</v>
      </c>
      <c r="E9">
        <v>166.94</v>
      </c>
      <c r="F9">
        <v>1.82</v>
      </c>
      <c r="G9">
        <v>0</v>
      </c>
      <c r="H9">
        <v>3.26</v>
      </c>
      <c r="I9">
        <v>1.76</v>
      </c>
      <c r="J9">
        <v>2.81</v>
      </c>
      <c r="K9">
        <v>6</v>
      </c>
      <c r="L9" s="1">
        <f t="shared" si="0"/>
        <v>2.1042634108868699</v>
      </c>
      <c r="M9">
        <f t="shared" si="1"/>
        <v>1.1315472861911799</v>
      </c>
    </row>
    <row r="10" spans="1:13">
      <c r="A10">
        <v>2016</v>
      </c>
      <c r="B10">
        <v>6</v>
      </c>
      <c r="C10">
        <v>12</v>
      </c>
      <c r="D10">
        <v>14</v>
      </c>
      <c r="E10">
        <v>169.97</v>
      </c>
      <c r="F10">
        <v>0.68</v>
      </c>
      <c r="G10">
        <v>1.5</v>
      </c>
      <c r="H10">
        <v>3.91</v>
      </c>
      <c r="I10">
        <v>1.17</v>
      </c>
      <c r="J10">
        <v>1.19</v>
      </c>
      <c r="K10">
        <v>4</v>
      </c>
      <c r="L10" s="1">
        <f t="shared" si="0"/>
        <v>1.9687935803222301</v>
      </c>
      <c r="M10">
        <f t="shared" si="1"/>
        <v>1.1520851337840801</v>
      </c>
    </row>
    <row r="11" spans="1:13">
      <c r="A11">
        <v>2016</v>
      </c>
      <c r="B11">
        <v>6</v>
      </c>
      <c r="C11">
        <v>12</v>
      </c>
      <c r="D11">
        <v>15</v>
      </c>
      <c r="E11">
        <v>162</v>
      </c>
      <c r="F11">
        <v>0</v>
      </c>
      <c r="G11">
        <v>0</v>
      </c>
      <c r="H11">
        <v>4.5599999999999996</v>
      </c>
      <c r="I11">
        <v>0.56999999999999995</v>
      </c>
      <c r="J11">
        <v>0</v>
      </c>
      <c r="K11">
        <v>0.5</v>
      </c>
      <c r="L11" s="1">
        <f t="shared" si="0"/>
        <v>0.84953661810862802</v>
      </c>
      <c r="M11">
        <f t="shared" si="1"/>
        <v>1.09806313863047</v>
      </c>
    </row>
    <row r="12" spans="1:13">
      <c r="A12">
        <v>2016</v>
      </c>
      <c r="B12">
        <v>6</v>
      </c>
      <c r="C12">
        <v>12</v>
      </c>
      <c r="D12">
        <v>16</v>
      </c>
      <c r="E12">
        <v>216.15</v>
      </c>
      <c r="F12">
        <v>0</v>
      </c>
      <c r="G12">
        <v>0</v>
      </c>
      <c r="H12">
        <v>5.21</v>
      </c>
      <c r="I12">
        <v>0</v>
      </c>
      <c r="J12">
        <v>0</v>
      </c>
      <c r="K12">
        <v>0</v>
      </c>
      <c r="L12" s="1">
        <f t="shared" si="0"/>
        <v>0.80737210445156204</v>
      </c>
      <c r="M12">
        <f t="shared" si="1"/>
        <v>1.46510090996899</v>
      </c>
    </row>
    <row r="13" spans="1:13">
      <c r="A13">
        <v>2016</v>
      </c>
      <c r="B13">
        <v>6</v>
      </c>
      <c r="C13">
        <v>12</v>
      </c>
      <c r="D13">
        <v>17</v>
      </c>
      <c r="E13">
        <v>240.49</v>
      </c>
      <c r="F13">
        <v>0</v>
      </c>
      <c r="G13">
        <v>0</v>
      </c>
      <c r="H13">
        <v>5.86</v>
      </c>
      <c r="I13">
        <v>0</v>
      </c>
      <c r="J13">
        <v>0</v>
      </c>
      <c r="K13">
        <v>0</v>
      </c>
      <c r="L13" s="1">
        <f t="shared" si="0"/>
        <v>0.90809991018928105</v>
      </c>
      <c r="M13">
        <f t="shared" si="1"/>
        <v>1.6300815074644599</v>
      </c>
    </row>
    <row r="14" spans="1:13">
      <c r="A14">
        <v>2016</v>
      </c>
      <c r="B14">
        <v>6</v>
      </c>
      <c r="C14">
        <v>12</v>
      </c>
      <c r="D14">
        <v>18</v>
      </c>
      <c r="E14">
        <v>173.24</v>
      </c>
      <c r="F14">
        <v>0</v>
      </c>
      <c r="G14">
        <v>0</v>
      </c>
      <c r="H14">
        <v>6.51</v>
      </c>
      <c r="I14">
        <v>0</v>
      </c>
      <c r="J14">
        <v>0</v>
      </c>
      <c r="K14">
        <v>0</v>
      </c>
      <c r="L14" s="1">
        <f t="shared" si="0"/>
        <v>1.008827715927</v>
      </c>
      <c r="M14">
        <f t="shared" si="1"/>
        <v>1.1742497415823601</v>
      </c>
    </row>
    <row r="15" spans="1:13">
      <c r="A15">
        <v>2016</v>
      </c>
      <c r="B15">
        <v>6</v>
      </c>
      <c r="C15">
        <v>12</v>
      </c>
      <c r="D15">
        <v>19</v>
      </c>
      <c r="E15">
        <v>144.83000000000001</v>
      </c>
      <c r="F15">
        <v>0</v>
      </c>
      <c r="G15">
        <v>0.5</v>
      </c>
      <c r="H15">
        <v>7.16</v>
      </c>
      <c r="I15">
        <v>0</v>
      </c>
      <c r="J15">
        <v>0</v>
      </c>
      <c r="K15">
        <v>0</v>
      </c>
      <c r="L15" s="1">
        <f t="shared" si="0"/>
        <v>1.2601871150801101</v>
      </c>
      <c r="M15">
        <f t="shared" si="1"/>
        <v>0.98168200227068603</v>
      </c>
    </row>
    <row r="16" spans="1:13">
      <c r="A16">
        <v>2016</v>
      </c>
      <c r="B16">
        <v>6</v>
      </c>
      <c r="C16">
        <v>12</v>
      </c>
      <c r="D16">
        <v>20</v>
      </c>
      <c r="E16">
        <v>176.95</v>
      </c>
      <c r="F16">
        <v>10.5</v>
      </c>
      <c r="G16">
        <v>4.5</v>
      </c>
      <c r="H16">
        <v>7.82</v>
      </c>
      <c r="I16">
        <v>9.5</v>
      </c>
      <c r="J16">
        <v>7</v>
      </c>
      <c r="K16">
        <v>2.5</v>
      </c>
      <c r="L16" s="1">
        <f t="shared" si="0"/>
        <v>6.8870203740418798</v>
      </c>
      <c r="M16">
        <f t="shared" si="1"/>
        <v>1.1993967430905099</v>
      </c>
    </row>
    <row r="17" spans="1:13">
      <c r="A17">
        <v>2016</v>
      </c>
      <c r="B17">
        <v>6</v>
      </c>
      <c r="C17">
        <v>12</v>
      </c>
      <c r="D17">
        <v>21</v>
      </c>
      <c r="E17">
        <v>182.63</v>
      </c>
      <c r="F17">
        <v>1.45</v>
      </c>
      <c r="G17">
        <v>1.39</v>
      </c>
      <c r="H17">
        <v>1.73</v>
      </c>
      <c r="I17">
        <v>3</v>
      </c>
      <c r="J17">
        <v>4.5</v>
      </c>
      <c r="K17">
        <v>6</v>
      </c>
      <c r="L17" s="1">
        <f t="shared" si="0"/>
        <v>2.4458019419450001</v>
      </c>
      <c r="M17">
        <f t="shared" si="1"/>
        <v>1.2378967346178</v>
      </c>
    </row>
    <row r="18" spans="1:13">
      <c r="A18">
        <v>2016</v>
      </c>
      <c r="B18">
        <v>6</v>
      </c>
      <c r="C18">
        <v>12</v>
      </c>
      <c r="D18">
        <v>22</v>
      </c>
      <c r="E18">
        <v>127.3</v>
      </c>
      <c r="F18">
        <v>1</v>
      </c>
      <c r="G18">
        <v>1.33</v>
      </c>
      <c r="H18">
        <v>1.62</v>
      </c>
      <c r="I18">
        <v>1.31</v>
      </c>
      <c r="J18">
        <v>2.25</v>
      </c>
      <c r="K18">
        <v>4</v>
      </c>
      <c r="L18" s="1">
        <f t="shared" si="0"/>
        <v>1.7052356637049899</v>
      </c>
      <c r="M18">
        <f t="shared" si="1"/>
        <v>0.862860725602833</v>
      </c>
    </row>
    <row r="19" spans="1:13">
      <c r="A19">
        <v>2016</v>
      </c>
      <c r="B19">
        <v>6</v>
      </c>
      <c r="C19">
        <v>12</v>
      </c>
      <c r="D19">
        <v>23</v>
      </c>
      <c r="E19">
        <v>142.25</v>
      </c>
      <c r="F19">
        <v>0.55000000000000004</v>
      </c>
      <c r="G19">
        <v>1.28</v>
      </c>
      <c r="H19">
        <v>1.51</v>
      </c>
      <c r="I19">
        <v>1.19</v>
      </c>
      <c r="J19">
        <v>2.25</v>
      </c>
      <c r="K19">
        <v>0.8</v>
      </c>
      <c r="L19" s="1">
        <f t="shared" si="0"/>
        <v>1.11878900505915</v>
      </c>
      <c r="M19">
        <f t="shared" si="1"/>
        <v>0.96419433006286703</v>
      </c>
    </row>
    <row r="20" spans="1:13">
      <c r="A20">
        <v>2016</v>
      </c>
      <c r="B20">
        <v>6</v>
      </c>
      <c r="C20">
        <v>13</v>
      </c>
      <c r="D20">
        <v>0</v>
      </c>
      <c r="E20">
        <v>143.84</v>
      </c>
      <c r="F20">
        <v>0</v>
      </c>
      <c r="G20">
        <v>0</v>
      </c>
      <c r="H20">
        <v>1.39</v>
      </c>
      <c r="I20">
        <v>0</v>
      </c>
      <c r="J20">
        <v>0</v>
      </c>
      <c r="K20">
        <v>0.89</v>
      </c>
      <c r="L20" s="1">
        <f t="shared" si="0"/>
        <v>0.33665550151849799</v>
      </c>
      <c r="M20">
        <f t="shared" si="1"/>
        <v>0.97497161642350005</v>
      </c>
    </row>
    <row r="21" spans="1:13">
      <c r="A21">
        <v>2016</v>
      </c>
      <c r="B21">
        <v>6</v>
      </c>
      <c r="C21">
        <v>13</v>
      </c>
      <c r="D21">
        <v>1</v>
      </c>
      <c r="E21">
        <v>131.5</v>
      </c>
      <c r="F21">
        <v>0.5</v>
      </c>
      <c r="G21">
        <v>0</v>
      </c>
      <c r="H21">
        <v>1.28</v>
      </c>
      <c r="I21">
        <v>0</v>
      </c>
      <c r="J21">
        <v>0</v>
      </c>
      <c r="K21">
        <v>0.98</v>
      </c>
      <c r="L21" s="1">
        <f t="shared" si="0"/>
        <v>0.44590404750742402</v>
      </c>
      <c r="M21">
        <f t="shared" si="1"/>
        <v>0.891329029196957</v>
      </c>
    </row>
    <row r="22" spans="1:13">
      <c r="A22">
        <v>2016</v>
      </c>
      <c r="B22">
        <v>6</v>
      </c>
      <c r="C22">
        <v>13</v>
      </c>
      <c r="D22">
        <v>2</v>
      </c>
      <c r="E22">
        <v>140.27000000000001</v>
      </c>
      <c r="F22">
        <v>0</v>
      </c>
      <c r="G22">
        <v>0.5</v>
      </c>
      <c r="H22">
        <v>1.17</v>
      </c>
      <c r="I22">
        <v>0.31</v>
      </c>
      <c r="J22">
        <v>0.47</v>
      </c>
      <c r="K22">
        <v>1.07</v>
      </c>
      <c r="L22" s="1">
        <f t="shared" si="0"/>
        <v>0.54107748386890397</v>
      </c>
      <c r="M22">
        <f t="shared" si="1"/>
        <v>0.95077355836849498</v>
      </c>
    </row>
    <row r="23" spans="1:13">
      <c r="A23">
        <v>2016</v>
      </c>
      <c r="B23">
        <v>6</v>
      </c>
      <c r="C23">
        <v>13</v>
      </c>
      <c r="D23">
        <v>3</v>
      </c>
      <c r="E23">
        <v>156.09</v>
      </c>
      <c r="F23">
        <v>0.6</v>
      </c>
      <c r="G23">
        <v>7</v>
      </c>
      <c r="H23">
        <v>1.05</v>
      </c>
      <c r="I23">
        <v>0.62</v>
      </c>
      <c r="J23">
        <v>0.93</v>
      </c>
      <c r="K23">
        <v>1.1599999999999999</v>
      </c>
      <c r="L23" s="1">
        <f t="shared" si="0"/>
        <v>2.6926706921450498</v>
      </c>
      <c r="M23">
        <f t="shared" si="1"/>
        <v>1.0580041685730299</v>
      </c>
    </row>
    <row r="24" spans="1:13">
      <c r="A24">
        <v>2016</v>
      </c>
      <c r="B24">
        <v>6</v>
      </c>
      <c r="C24">
        <v>13</v>
      </c>
      <c r="D24">
        <v>4</v>
      </c>
      <c r="E24">
        <v>163.62</v>
      </c>
      <c r="F24">
        <v>1.2</v>
      </c>
      <c r="G24">
        <v>0.97</v>
      </c>
      <c r="H24">
        <v>0.94</v>
      </c>
      <c r="I24">
        <v>0.93</v>
      </c>
      <c r="J24">
        <v>1.4</v>
      </c>
      <c r="K24">
        <v>1.25</v>
      </c>
      <c r="L24" s="1">
        <f t="shared" si="0"/>
        <v>1.07146867827616</v>
      </c>
      <c r="M24">
        <f t="shared" si="1"/>
        <v>1.1090437700167799</v>
      </c>
    </row>
    <row r="25" spans="1:13">
      <c r="A25">
        <v>2016</v>
      </c>
      <c r="B25">
        <v>6</v>
      </c>
      <c r="C25">
        <v>13</v>
      </c>
      <c r="D25">
        <v>5</v>
      </c>
      <c r="E25">
        <v>147.52000000000001</v>
      </c>
      <c r="F25">
        <v>1.8</v>
      </c>
      <c r="G25">
        <v>0.67</v>
      </c>
      <c r="H25">
        <v>0.82</v>
      </c>
      <c r="I25">
        <v>1.24</v>
      </c>
      <c r="J25">
        <v>1.87</v>
      </c>
      <c r="K25">
        <v>1.34</v>
      </c>
      <c r="L25" s="1">
        <f t="shared" si="0"/>
        <v>1.1749550663977999</v>
      </c>
      <c r="M25">
        <f t="shared" si="1"/>
        <v>0.99991527290597004</v>
      </c>
    </row>
    <row r="26" spans="1:13">
      <c r="A26">
        <v>2016</v>
      </c>
      <c r="B26">
        <v>6</v>
      </c>
      <c r="C26">
        <v>13</v>
      </c>
      <c r="D26">
        <v>6</v>
      </c>
      <c r="E26">
        <v>97.87</v>
      </c>
      <c r="F26">
        <v>2.4</v>
      </c>
      <c r="G26">
        <v>0.36</v>
      </c>
      <c r="H26">
        <v>0.71</v>
      </c>
      <c r="I26">
        <v>1.55</v>
      </c>
      <c r="J26">
        <v>2.33</v>
      </c>
      <c r="K26">
        <v>3</v>
      </c>
      <c r="L26" s="1">
        <f t="shared" si="0"/>
        <v>1.4903913073767201</v>
      </c>
      <c r="M26">
        <f t="shared" si="1"/>
        <v>0.66337925541829801</v>
      </c>
    </row>
    <row r="27" spans="1:13">
      <c r="A27">
        <v>2016</v>
      </c>
      <c r="B27">
        <v>6</v>
      </c>
      <c r="C27">
        <v>13</v>
      </c>
      <c r="D27">
        <v>7</v>
      </c>
      <c r="E27">
        <v>65.14</v>
      </c>
      <c r="F27">
        <v>0</v>
      </c>
      <c r="G27">
        <v>0</v>
      </c>
      <c r="H27">
        <v>0.6</v>
      </c>
      <c r="I27">
        <v>1.86</v>
      </c>
      <c r="J27">
        <v>0</v>
      </c>
      <c r="K27">
        <v>0</v>
      </c>
      <c r="L27" s="1">
        <f t="shared" si="0"/>
        <v>0.33697456492637201</v>
      </c>
      <c r="M27">
        <f t="shared" si="1"/>
        <v>0.44152983240980798</v>
      </c>
    </row>
    <row r="28" spans="1:13">
      <c r="A28">
        <v>2016</v>
      </c>
      <c r="B28">
        <v>6</v>
      </c>
      <c r="C28">
        <v>13</v>
      </c>
      <c r="D28">
        <v>8</v>
      </c>
      <c r="E28">
        <v>143</v>
      </c>
      <c r="F28">
        <v>0.5</v>
      </c>
      <c r="G28">
        <v>0</v>
      </c>
      <c r="H28">
        <v>0.48</v>
      </c>
      <c r="I28">
        <v>0</v>
      </c>
      <c r="J28">
        <v>0</v>
      </c>
      <c r="K28">
        <v>0.5</v>
      </c>
      <c r="L28" s="1">
        <f t="shared" si="0"/>
        <v>0.25653650702199299</v>
      </c>
      <c r="M28">
        <f t="shared" si="1"/>
        <v>0.96927795570467501</v>
      </c>
    </row>
    <row r="29" spans="1:13">
      <c r="A29">
        <v>2016</v>
      </c>
      <c r="B29">
        <v>6</v>
      </c>
      <c r="C29">
        <v>13</v>
      </c>
      <c r="D29">
        <v>9</v>
      </c>
      <c r="E29">
        <v>111</v>
      </c>
      <c r="F29">
        <v>0</v>
      </c>
      <c r="G29">
        <v>0.5</v>
      </c>
      <c r="H29">
        <v>0.42</v>
      </c>
      <c r="I29">
        <v>0.5</v>
      </c>
      <c r="J29">
        <v>0</v>
      </c>
      <c r="K29">
        <v>0</v>
      </c>
      <c r="L29" s="1">
        <f t="shared" si="0"/>
        <v>0.28130732023264199</v>
      </c>
      <c r="M29">
        <f t="shared" si="1"/>
        <v>0.75237659498754506</v>
      </c>
    </row>
    <row r="30" spans="1:13">
      <c r="A30">
        <v>2016</v>
      </c>
      <c r="B30">
        <v>6</v>
      </c>
      <c r="C30">
        <v>13</v>
      </c>
      <c r="D30">
        <v>10</v>
      </c>
      <c r="E30">
        <v>73.27</v>
      </c>
      <c r="F30">
        <v>0</v>
      </c>
      <c r="G30">
        <v>1</v>
      </c>
      <c r="H30">
        <v>0.4</v>
      </c>
      <c r="I30">
        <v>0</v>
      </c>
      <c r="J30">
        <v>0.5</v>
      </c>
      <c r="K30">
        <v>0</v>
      </c>
      <c r="L30" s="1">
        <f t="shared" si="0"/>
        <v>0.38739204356102402</v>
      </c>
      <c r="M30">
        <f t="shared" si="1"/>
        <v>0.496636334367004</v>
      </c>
    </row>
    <row r="31" spans="1:13">
      <c r="A31">
        <v>2016</v>
      </c>
      <c r="B31">
        <v>6</v>
      </c>
      <c r="C31">
        <v>13</v>
      </c>
      <c r="D31">
        <v>11</v>
      </c>
      <c r="E31">
        <v>68.97</v>
      </c>
      <c r="F31">
        <v>0</v>
      </c>
      <c r="G31">
        <v>0</v>
      </c>
      <c r="H31">
        <v>0.37</v>
      </c>
      <c r="I31">
        <v>0</v>
      </c>
      <c r="J31">
        <v>0</v>
      </c>
      <c r="K31">
        <v>0</v>
      </c>
      <c r="L31" s="1">
        <f t="shared" si="0"/>
        <v>5.7337366343009198E-2</v>
      </c>
      <c r="M31">
        <f t="shared" si="1"/>
        <v>0.46749021402064</v>
      </c>
    </row>
    <row r="32" spans="1:13">
      <c r="A32">
        <v>2016</v>
      </c>
      <c r="B32">
        <v>6</v>
      </c>
      <c r="C32">
        <v>13</v>
      </c>
      <c r="D32">
        <v>12</v>
      </c>
      <c r="E32">
        <v>92.27</v>
      </c>
      <c r="F32">
        <v>0</v>
      </c>
      <c r="G32">
        <v>0</v>
      </c>
      <c r="H32">
        <v>0.34</v>
      </c>
      <c r="I32">
        <v>0</v>
      </c>
      <c r="J32">
        <v>0</v>
      </c>
      <c r="K32">
        <v>0</v>
      </c>
      <c r="L32" s="1">
        <f t="shared" si="0"/>
        <v>5.2688390693575997E-2</v>
      </c>
      <c r="M32">
        <f t="shared" si="1"/>
        <v>0.62542151729280004</v>
      </c>
    </row>
    <row r="33" spans="1:13">
      <c r="A33">
        <v>2016</v>
      </c>
      <c r="B33">
        <v>6</v>
      </c>
      <c r="C33">
        <v>13</v>
      </c>
      <c r="D33">
        <v>13</v>
      </c>
      <c r="E33">
        <v>127</v>
      </c>
      <c r="F33">
        <v>0</v>
      </c>
      <c r="G33">
        <v>0</v>
      </c>
      <c r="H33">
        <v>0.31</v>
      </c>
      <c r="I33">
        <v>0</v>
      </c>
      <c r="J33">
        <v>0</v>
      </c>
      <c r="K33">
        <v>0</v>
      </c>
      <c r="L33" s="1">
        <f t="shared" si="0"/>
        <v>4.80394150441429E-2</v>
      </c>
      <c r="M33">
        <f t="shared" si="1"/>
        <v>0.86082727534611003</v>
      </c>
    </row>
    <row r="34" spans="1:13">
      <c r="A34">
        <v>2016</v>
      </c>
      <c r="B34">
        <v>6</v>
      </c>
      <c r="C34">
        <v>13</v>
      </c>
      <c r="D34">
        <v>14</v>
      </c>
      <c r="E34">
        <v>76.03</v>
      </c>
      <c r="F34">
        <v>0</v>
      </c>
      <c r="G34">
        <v>0</v>
      </c>
      <c r="H34">
        <v>0.28000000000000003</v>
      </c>
      <c r="I34">
        <v>0</v>
      </c>
      <c r="J34">
        <v>0</v>
      </c>
      <c r="K34">
        <v>0</v>
      </c>
      <c r="L34" s="1">
        <f t="shared" si="0"/>
        <v>4.3390439394709698E-2</v>
      </c>
      <c r="M34">
        <f t="shared" si="1"/>
        <v>0.51534407672885596</v>
      </c>
    </row>
    <row r="35" spans="1:13">
      <c r="A35">
        <v>2016</v>
      </c>
      <c r="B35">
        <v>6</v>
      </c>
      <c r="C35">
        <v>13</v>
      </c>
      <c r="D35">
        <v>15</v>
      </c>
      <c r="E35">
        <v>65.8</v>
      </c>
      <c r="F35">
        <v>0</v>
      </c>
      <c r="G35">
        <v>0</v>
      </c>
      <c r="H35">
        <v>0.25</v>
      </c>
      <c r="I35">
        <v>0</v>
      </c>
      <c r="J35">
        <v>0</v>
      </c>
      <c r="K35">
        <v>0</v>
      </c>
      <c r="L35" s="1">
        <f t="shared" si="0"/>
        <v>3.8741463745276497E-2</v>
      </c>
      <c r="M35">
        <f t="shared" si="1"/>
        <v>0.446003422974599</v>
      </c>
    </row>
    <row r="36" spans="1:13">
      <c r="A36">
        <v>2016</v>
      </c>
      <c r="B36">
        <v>6</v>
      </c>
      <c r="C36">
        <v>13</v>
      </c>
      <c r="D36">
        <v>16</v>
      </c>
      <c r="E36">
        <v>117</v>
      </c>
      <c r="F36">
        <v>0</v>
      </c>
      <c r="G36">
        <v>0</v>
      </c>
      <c r="H36">
        <v>0.22</v>
      </c>
      <c r="I36">
        <v>0</v>
      </c>
      <c r="J36">
        <v>0</v>
      </c>
      <c r="K36">
        <v>0</v>
      </c>
      <c r="L36" s="1">
        <f t="shared" si="0"/>
        <v>3.4092488095843303E-2</v>
      </c>
      <c r="M36">
        <f t="shared" si="1"/>
        <v>0.79304560012200698</v>
      </c>
    </row>
    <row r="37" spans="1:13">
      <c r="A37">
        <v>2016</v>
      </c>
      <c r="B37">
        <v>6</v>
      </c>
      <c r="C37">
        <v>13</v>
      </c>
      <c r="D37">
        <v>17</v>
      </c>
      <c r="E37">
        <v>73.61</v>
      </c>
      <c r="F37">
        <v>0</v>
      </c>
      <c r="G37">
        <v>3</v>
      </c>
      <c r="H37">
        <v>0.19</v>
      </c>
      <c r="I37">
        <v>0</v>
      </c>
      <c r="J37">
        <v>0</v>
      </c>
      <c r="K37">
        <v>0</v>
      </c>
      <c r="L37" s="1">
        <f t="shared" ref="L37:L76" si="2">F37*$F$2+G37*$G$2+H37*$H$2+I37*$I$2+J37*$J$2+K37*$K$2</f>
        <v>0.93323307293873203</v>
      </c>
      <c r="M37">
        <f t="shared" ref="M37:M68" si="3">E37*3600/(1000*$L$1)</f>
        <v>0.49894091132462298</v>
      </c>
    </row>
    <row r="38" spans="1:13">
      <c r="A38">
        <v>2016</v>
      </c>
      <c r="B38">
        <v>6</v>
      </c>
      <c r="C38">
        <v>13</v>
      </c>
      <c r="D38">
        <v>18</v>
      </c>
      <c r="E38">
        <v>88.8</v>
      </c>
      <c r="F38">
        <v>0</v>
      </c>
      <c r="G38">
        <v>0</v>
      </c>
      <c r="H38">
        <v>0.17</v>
      </c>
      <c r="I38">
        <v>0</v>
      </c>
      <c r="J38">
        <v>0</v>
      </c>
      <c r="K38">
        <v>0</v>
      </c>
      <c r="L38" s="1">
        <f t="shared" si="2"/>
        <v>2.6344195346787998E-2</v>
      </c>
      <c r="M38">
        <f t="shared" si="3"/>
        <v>0.60190127599003596</v>
      </c>
    </row>
    <row r="39" spans="1:13">
      <c r="A39">
        <v>2016</v>
      </c>
      <c r="B39">
        <v>6</v>
      </c>
      <c r="C39">
        <v>13</v>
      </c>
      <c r="D39">
        <v>19</v>
      </c>
      <c r="E39">
        <v>92.2</v>
      </c>
      <c r="F39">
        <v>0</v>
      </c>
      <c r="G39">
        <v>0</v>
      </c>
      <c r="H39">
        <v>0.14000000000000001</v>
      </c>
      <c r="I39">
        <v>0</v>
      </c>
      <c r="J39">
        <v>0</v>
      </c>
      <c r="K39">
        <v>0</v>
      </c>
      <c r="L39" s="1">
        <f t="shared" si="2"/>
        <v>2.1695219697354801E-2</v>
      </c>
      <c r="M39">
        <f t="shared" si="3"/>
        <v>0.62494704556623104</v>
      </c>
    </row>
    <row r="40" spans="1:13">
      <c r="A40">
        <v>2016</v>
      </c>
      <c r="B40">
        <v>6</v>
      </c>
      <c r="C40">
        <v>13</v>
      </c>
      <c r="D40">
        <v>20</v>
      </c>
      <c r="E40">
        <v>70.08</v>
      </c>
      <c r="F40">
        <v>0.5</v>
      </c>
      <c r="G40">
        <v>1</v>
      </c>
      <c r="H40">
        <v>0.11</v>
      </c>
      <c r="I40">
        <v>1.5</v>
      </c>
      <c r="J40">
        <v>0</v>
      </c>
      <c r="K40">
        <v>0</v>
      </c>
      <c r="L40" s="1">
        <f t="shared" si="2"/>
        <v>0.62911288849726199</v>
      </c>
      <c r="M40">
        <f t="shared" si="3"/>
        <v>0.47501397997051498</v>
      </c>
    </row>
    <row r="41" spans="1:13">
      <c r="A41">
        <v>2016</v>
      </c>
      <c r="B41">
        <v>6</v>
      </c>
      <c r="C41">
        <v>13</v>
      </c>
      <c r="D41">
        <v>21</v>
      </c>
      <c r="E41">
        <v>119.11</v>
      </c>
      <c r="F41">
        <v>1.5</v>
      </c>
      <c r="G41">
        <v>0.5</v>
      </c>
      <c r="H41">
        <v>1.04</v>
      </c>
      <c r="I41">
        <v>1.1100000000000001</v>
      </c>
      <c r="J41">
        <v>0.33</v>
      </c>
      <c r="K41">
        <v>0.67</v>
      </c>
      <c r="L41" s="1">
        <f t="shared" si="2"/>
        <v>0.90672017653360804</v>
      </c>
      <c r="M41">
        <f t="shared" si="3"/>
        <v>0.80734753359429301</v>
      </c>
    </row>
    <row r="42" spans="1:13">
      <c r="A42">
        <v>2016</v>
      </c>
      <c r="B42">
        <v>6</v>
      </c>
      <c r="C42">
        <v>13</v>
      </c>
      <c r="D42">
        <v>22</v>
      </c>
      <c r="E42">
        <v>92.54</v>
      </c>
      <c r="F42">
        <v>0</v>
      </c>
      <c r="G42">
        <v>0</v>
      </c>
      <c r="H42">
        <v>1.61</v>
      </c>
      <c r="I42">
        <v>1.39</v>
      </c>
      <c r="J42">
        <v>0.67</v>
      </c>
      <c r="K42">
        <v>1.33</v>
      </c>
      <c r="L42" s="1">
        <f t="shared" si="2"/>
        <v>0.64538463276453295</v>
      </c>
      <c r="M42">
        <f t="shared" si="3"/>
        <v>0.62725162252385103</v>
      </c>
    </row>
    <row r="43" spans="1:13">
      <c r="A43">
        <v>2016</v>
      </c>
      <c r="B43">
        <v>6</v>
      </c>
      <c r="C43">
        <v>13</v>
      </c>
      <c r="D43">
        <v>23</v>
      </c>
      <c r="E43">
        <v>69.2</v>
      </c>
      <c r="F43">
        <v>0.5</v>
      </c>
      <c r="G43">
        <v>0.33</v>
      </c>
      <c r="H43">
        <v>2.19</v>
      </c>
      <c r="I43">
        <v>0</v>
      </c>
      <c r="J43">
        <v>1</v>
      </c>
      <c r="K43">
        <v>0</v>
      </c>
      <c r="L43" s="1">
        <f t="shared" si="2"/>
        <v>0.60111035798138701</v>
      </c>
      <c r="M43">
        <f t="shared" si="3"/>
        <v>0.46904919255079403</v>
      </c>
    </row>
    <row r="44" spans="1:13">
      <c r="A44">
        <v>2016</v>
      </c>
      <c r="B44">
        <v>6</v>
      </c>
      <c r="C44">
        <v>14</v>
      </c>
      <c r="D44">
        <v>0</v>
      </c>
      <c r="E44">
        <v>74.12</v>
      </c>
      <c r="F44">
        <v>0</v>
      </c>
      <c r="G44">
        <v>0.67</v>
      </c>
      <c r="H44">
        <v>2.76</v>
      </c>
      <c r="I44">
        <v>0.5</v>
      </c>
      <c r="J44">
        <v>0</v>
      </c>
      <c r="K44">
        <v>0.5</v>
      </c>
      <c r="L44" s="1">
        <f t="shared" si="2"/>
        <v>0.76326180483772998</v>
      </c>
      <c r="M44">
        <f t="shared" si="3"/>
        <v>0.50239777676105302</v>
      </c>
    </row>
    <row r="45" spans="1:13">
      <c r="A45">
        <v>2016</v>
      </c>
      <c r="B45">
        <v>6</v>
      </c>
      <c r="C45">
        <v>14</v>
      </c>
      <c r="D45">
        <v>1</v>
      </c>
      <c r="E45">
        <v>95.61</v>
      </c>
      <c r="F45">
        <v>0</v>
      </c>
      <c r="G45">
        <v>0</v>
      </c>
      <c r="H45">
        <v>3.33</v>
      </c>
      <c r="I45">
        <v>0</v>
      </c>
      <c r="J45">
        <v>0</v>
      </c>
      <c r="K45">
        <v>0</v>
      </c>
      <c r="L45" s="1">
        <f t="shared" si="2"/>
        <v>0.51603629708708298</v>
      </c>
      <c r="M45">
        <f t="shared" si="3"/>
        <v>0.64806059681765005</v>
      </c>
    </row>
    <row r="46" spans="1:13">
      <c r="A46">
        <v>2016</v>
      </c>
      <c r="B46">
        <v>6</v>
      </c>
      <c r="C46">
        <v>14</v>
      </c>
      <c r="D46">
        <v>2</v>
      </c>
      <c r="E46">
        <v>103.47</v>
      </c>
      <c r="F46">
        <v>0</v>
      </c>
      <c r="G46">
        <v>0</v>
      </c>
      <c r="H46">
        <v>3.91</v>
      </c>
      <c r="I46">
        <v>0</v>
      </c>
      <c r="J46">
        <v>0</v>
      </c>
      <c r="K46">
        <v>0</v>
      </c>
      <c r="L46" s="1">
        <f t="shared" si="2"/>
        <v>0.60591649297612404</v>
      </c>
      <c r="M46">
        <f t="shared" si="3"/>
        <v>0.70133699354379497</v>
      </c>
    </row>
    <row r="47" spans="1:13">
      <c r="A47">
        <v>2016</v>
      </c>
      <c r="B47">
        <v>6</v>
      </c>
      <c r="C47">
        <v>14</v>
      </c>
      <c r="D47">
        <v>3</v>
      </c>
      <c r="E47">
        <v>99.19</v>
      </c>
      <c r="F47">
        <v>5.5</v>
      </c>
      <c r="G47">
        <v>3</v>
      </c>
      <c r="H47">
        <v>4.4800000000000004</v>
      </c>
      <c r="I47">
        <v>1.17</v>
      </c>
      <c r="J47">
        <v>0.5</v>
      </c>
      <c r="K47">
        <v>0.5</v>
      </c>
      <c r="L47" s="1">
        <f t="shared" si="2"/>
        <v>3.09814530508344</v>
      </c>
      <c r="M47">
        <f t="shared" si="3"/>
        <v>0.67232643654787905</v>
      </c>
    </row>
    <row r="48" spans="1:13">
      <c r="A48">
        <v>2016</v>
      </c>
      <c r="B48">
        <v>6</v>
      </c>
      <c r="C48">
        <v>14</v>
      </c>
      <c r="D48">
        <v>4</v>
      </c>
      <c r="E48">
        <v>84.9</v>
      </c>
      <c r="F48">
        <v>10</v>
      </c>
      <c r="G48">
        <v>3</v>
      </c>
      <c r="H48">
        <v>5.05</v>
      </c>
      <c r="I48">
        <v>2.33</v>
      </c>
      <c r="J48">
        <v>1</v>
      </c>
      <c r="K48">
        <v>5</v>
      </c>
      <c r="L48" s="1">
        <f t="shared" si="2"/>
        <v>5.0021633839624799</v>
      </c>
      <c r="M48">
        <f t="shared" si="3"/>
        <v>0.57546642265263603</v>
      </c>
    </row>
    <row r="49" spans="1:13">
      <c r="A49">
        <v>2016</v>
      </c>
      <c r="B49">
        <v>6</v>
      </c>
      <c r="C49">
        <v>14</v>
      </c>
      <c r="D49">
        <v>5</v>
      </c>
      <c r="E49">
        <v>75</v>
      </c>
      <c r="F49">
        <v>12.5</v>
      </c>
      <c r="G49">
        <v>15</v>
      </c>
      <c r="H49">
        <v>5.62</v>
      </c>
      <c r="I49">
        <v>8.5</v>
      </c>
      <c r="J49">
        <v>5</v>
      </c>
      <c r="K49">
        <v>23</v>
      </c>
      <c r="L49" s="1">
        <f t="shared" si="2"/>
        <v>12.7306471078877</v>
      </c>
      <c r="M49">
        <f t="shared" si="3"/>
        <v>0.50836256418077397</v>
      </c>
    </row>
    <row r="50" spans="1:13">
      <c r="A50">
        <v>2016</v>
      </c>
      <c r="B50">
        <v>6</v>
      </c>
      <c r="C50">
        <v>14</v>
      </c>
      <c r="D50">
        <v>6</v>
      </c>
      <c r="E50">
        <v>102</v>
      </c>
      <c r="F50">
        <v>0</v>
      </c>
      <c r="G50">
        <v>34.5</v>
      </c>
      <c r="H50">
        <v>6.2</v>
      </c>
      <c r="I50">
        <v>16</v>
      </c>
      <c r="J50">
        <v>3.5</v>
      </c>
      <c r="K50">
        <v>8</v>
      </c>
      <c r="L50" s="1">
        <f t="shared" si="2"/>
        <v>14.7121622919244</v>
      </c>
      <c r="M50">
        <f t="shared" si="3"/>
        <v>0.69137308728585201</v>
      </c>
    </row>
    <row r="51" spans="1:13">
      <c r="A51">
        <v>2016</v>
      </c>
      <c r="B51">
        <v>6</v>
      </c>
      <c r="C51">
        <v>14</v>
      </c>
      <c r="D51">
        <v>7</v>
      </c>
      <c r="E51">
        <v>131</v>
      </c>
      <c r="F51">
        <v>0</v>
      </c>
      <c r="G51">
        <v>10</v>
      </c>
      <c r="H51">
        <v>6.77</v>
      </c>
      <c r="I51">
        <v>21.5</v>
      </c>
      <c r="J51">
        <v>26.5</v>
      </c>
      <c r="K51">
        <v>0</v>
      </c>
      <c r="L51" s="1">
        <f t="shared" si="2"/>
        <v>8.1616768998168094</v>
      </c>
      <c r="M51">
        <f t="shared" si="3"/>
        <v>0.88793994543575105</v>
      </c>
    </row>
    <row r="52" spans="1:13">
      <c r="A52">
        <v>2016</v>
      </c>
      <c r="B52">
        <v>6</v>
      </c>
      <c r="C52">
        <v>14</v>
      </c>
      <c r="D52">
        <v>8</v>
      </c>
      <c r="E52">
        <v>265</v>
      </c>
      <c r="F52">
        <v>0</v>
      </c>
      <c r="G52">
        <v>0</v>
      </c>
      <c r="H52">
        <v>7.34</v>
      </c>
      <c r="I52">
        <v>1</v>
      </c>
      <c r="J52">
        <v>1</v>
      </c>
      <c r="K52">
        <v>0</v>
      </c>
      <c r="L52" s="1">
        <f t="shared" si="2"/>
        <v>1.3169145404873099</v>
      </c>
      <c r="M52">
        <f t="shared" si="3"/>
        <v>1.79621439343873</v>
      </c>
    </row>
    <row r="53" spans="1:13">
      <c r="A53">
        <v>2016</v>
      </c>
      <c r="B53">
        <v>6</v>
      </c>
      <c r="C53">
        <v>14</v>
      </c>
      <c r="D53">
        <v>9</v>
      </c>
      <c r="E53">
        <v>275.02999999999997</v>
      </c>
      <c r="F53">
        <v>0</v>
      </c>
      <c r="G53">
        <v>17.5</v>
      </c>
      <c r="H53">
        <v>3.14</v>
      </c>
      <c r="I53">
        <v>0.89</v>
      </c>
      <c r="J53">
        <v>2</v>
      </c>
      <c r="K53">
        <v>0</v>
      </c>
      <c r="L53" s="1">
        <f t="shared" si="2"/>
        <v>5.9720189336812899</v>
      </c>
      <c r="M53">
        <f t="shared" si="3"/>
        <v>1.8641994136885101</v>
      </c>
    </row>
    <row r="54" spans="1:13">
      <c r="A54">
        <v>2016</v>
      </c>
      <c r="B54">
        <v>6</v>
      </c>
      <c r="C54">
        <v>14</v>
      </c>
      <c r="D54">
        <v>10</v>
      </c>
      <c r="E54">
        <v>359.36</v>
      </c>
      <c r="F54">
        <v>0</v>
      </c>
      <c r="G54">
        <v>15</v>
      </c>
      <c r="H54">
        <v>3.04</v>
      </c>
      <c r="I54">
        <v>1.33</v>
      </c>
      <c r="J54">
        <v>4.5</v>
      </c>
      <c r="K54">
        <v>0</v>
      </c>
      <c r="L54" s="1">
        <f t="shared" si="2"/>
        <v>5.3817962143934404</v>
      </c>
      <c r="M54">
        <f t="shared" si="3"/>
        <v>2.4358022808533701</v>
      </c>
    </row>
    <row r="55" spans="1:13">
      <c r="A55">
        <v>2016</v>
      </c>
      <c r="B55">
        <v>6</v>
      </c>
      <c r="C55">
        <v>14</v>
      </c>
      <c r="D55">
        <v>11</v>
      </c>
      <c r="E55">
        <v>344</v>
      </c>
      <c r="F55">
        <v>0</v>
      </c>
      <c r="G55">
        <v>0</v>
      </c>
      <c r="H55">
        <v>2.93</v>
      </c>
      <c r="I55">
        <v>1.78</v>
      </c>
      <c r="J55">
        <v>0.5</v>
      </c>
      <c r="K55">
        <v>0</v>
      </c>
      <c r="L55" s="1">
        <f t="shared" si="2"/>
        <v>0.71169311093412602</v>
      </c>
      <c r="M55">
        <f t="shared" si="3"/>
        <v>2.3316896277091499</v>
      </c>
    </row>
    <row r="56" spans="1:13">
      <c r="A56">
        <v>2016</v>
      </c>
      <c r="B56">
        <v>6</v>
      </c>
      <c r="C56">
        <v>14</v>
      </c>
      <c r="D56">
        <v>12</v>
      </c>
      <c r="E56">
        <v>284.69</v>
      </c>
      <c r="F56">
        <v>0</v>
      </c>
      <c r="G56">
        <v>0</v>
      </c>
      <c r="H56">
        <v>2.83</v>
      </c>
      <c r="I56">
        <v>0</v>
      </c>
      <c r="J56">
        <v>0</v>
      </c>
      <c r="K56">
        <v>0</v>
      </c>
      <c r="L56" s="1">
        <f t="shared" si="2"/>
        <v>0.43855336959653002</v>
      </c>
      <c r="M56">
        <f t="shared" si="3"/>
        <v>1.9296765119549899</v>
      </c>
    </row>
    <row r="57" spans="1:13">
      <c r="A57">
        <v>2016</v>
      </c>
      <c r="B57">
        <v>6</v>
      </c>
      <c r="C57">
        <v>14</v>
      </c>
      <c r="D57">
        <v>13</v>
      </c>
      <c r="E57">
        <v>221.63</v>
      </c>
      <c r="F57">
        <v>0</v>
      </c>
      <c r="G57">
        <v>1.5</v>
      </c>
      <c r="H57">
        <v>2.72</v>
      </c>
      <c r="I57">
        <v>0</v>
      </c>
      <c r="J57">
        <v>2</v>
      </c>
      <c r="K57">
        <v>0</v>
      </c>
      <c r="L57" s="1">
        <f t="shared" si="2"/>
        <v>0.96997196474599801</v>
      </c>
      <c r="M57">
        <f t="shared" si="3"/>
        <v>1.5022452679917999</v>
      </c>
    </row>
    <row r="58" spans="1:13">
      <c r="A58">
        <v>2016</v>
      </c>
      <c r="B58">
        <v>6</v>
      </c>
      <c r="C58">
        <v>14</v>
      </c>
      <c r="D58">
        <v>14</v>
      </c>
      <c r="E58">
        <v>234.76</v>
      </c>
      <c r="F58">
        <v>0</v>
      </c>
      <c r="G58">
        <v>0</v>
      </c>
      <c r="H58">
        <v>2.62</v>
      </c>
      <c r="I58">
        <v>0</v>
      </c>
      <c r="J58">
        <v>0</v>
      </c>
      <c r="K58">
        <v>6</v>
      </c>
      <c r="L58" s="1">
        <f t="shared" si="2"/>
        <v>1.2234462463073099</v>
      </c>
      <c r="M58">
        <f t="shared" si="3"/>
        <v>1.59124260756105</v>
      </c>
    </row>
    <row r="59" spans="1:13">
      <c r="A59">
        <v>2016</v>
      </c>
      <c r="B59">
        <v>6</v>
      </c>
      <c r="C59">
        <v>14</v>
      </c>
      <c r="D59">
        <v>15</v>
      </c>
      <c r="E59">
        <v>184.13</v>
      </c>
      <c r="F59">
        <v>0</v>
      </c>
      <c r="G59">
        <v>0.5</v>
      </c>
      <c r="H59">
        <v>2.5099999999999998</v>
      </c>
      <c r="I59">
        <v>0</v>
      </c>
      <c r="J59">
        <v>0</v>
      </c>
      <c r="K59">
        <v>0</v>
      </c>
      <c r="L59" s="1">
        <f t="shared" si="2"/>
        <v>0.53959588941796299</v>
      </c>
      <c r="M59">
        <f t="shared" si="3"/>
        <v>1.24806398590141</v>
      </c>
    </row>
    <row r="60" spans="1:13">
      <c r="A60">
        <v>2016</v>
      </c>
      <c r="B60">
        <v>6</v>
      </c>
      <c r="C60">
        <v>14</v>
      </c>
      <c r="D60">
        <v>16</v>
      </c>
      <c r="E60">
        <v>168</v>
      </c>
      <c r="F60">
        <v>0</v>
      </c>
      <c r="G60">
        <v>0</v>
      </c>
      <c r="H60">
        <v>2.41</v>
      </c>
      <c r="I60">
        <v>0</v>
      </c>
      <c r="J60">
        <v>0</v>
      </c>
      <c r="K60">
        <v>0</v>
      </c>
      <c r="L60" s="1">
        <f t="shared" si="2"/>
        <v>0.37346771050446498</v>
      </c>
      <c r="M60">
        <f t="shared" si="3"/>
        <v>1.13873214376493</v>
      </c>
    </row>
    <row r="61" spans="1:13">
      <c r="A61">
        <v>2016</v>
      </c>
      <c r="B61">
        <v>6</v>
      </c>
      <c r="C61">
        <v>14</v>
      </c>
      <c r="D61">
        <v>17</v>
      </c>
      <c r="E61">
        <v>176.52</v>
      </c>
      <c r="F61">
        <v>3.5</v>
      </c>
      <c r="G61">
        <v>0</v>
      </c>
      <c r="H61">
        <v>2.2999999999999998</v>
      </c>
      <c r="I61">
        <v>0</v>
      </c>
      <c r="J61">
        <v>0</v>
      </c>
      <c r="K61">
        <v>0</v>
      </c>
      <c r="L61" s="1">
        <f t="shared" si="2"/>
        <v>1.1546542475575099</v>
      </c>
      <c r="M61">
        <f t="shared" si="3"/>
        <v>1.19648213105587</v>
      </c>
    </row>
    <row r="62" spans="1:13">
      <c r="A62">
        <v>2016</v>
      </c>
      <c r="B62">
        <v>6</v>
      </c>
      <c r="C62">
        <v>14</v>
      </c>
      <c r="D62">
        <v>18</v>
      </c>
      <c r="E62">
        <v>167.36</v>
      </c>
      <c r="F62">
        <v>0</v>
      </c>
      <c r="G62">
        <v>8</v>
      </c>
      <c r="H62">
        <v>2.2000000000000002</v>
      </c>
      <c r="I62">
        <v>13</v>
      </c>
      <c r="J62">
        <v>13</v>
      </c>
      <c r="K62">
        <v>3.5</v>
      </c>
      <c r="L62" s="1">
        <f t="shared" si="2"/>
        <v>5.5609150149590496</v>
      </c>
      <c r="M62">
        <f t="shared" si="3"/>
        <v>1.13439411655059</v>
      </c>
    </row>
    <row r="63" spans="1:13">
      <c r="A63">
        <v>2016</v>
      </c>
      <c r="B63">
        <v>6</v>
      </c>
      <c r="C63">
        <v>14</v>
      </c>
      <c r="D63">
        <v>19</v>
      </c>
      <c r="E63">
        <v>204.93</v>
      </c>
      <c r="F63">
        <v>1</v>
      </c>
      <c r="G63">
        <v>2.1800000000000002</v>
      </c>
      <c r="H63">
        <v>2.09</v>
      </c>
      <c r="I63">
        <v>2.1800000000000002</v>
      </c>
      <c r="J63">
        <v>0</v>
      </c>
      <c r="K63">
        <v>0</v>
      </c>
      <c r="L63" s="1">
        <f t="shared" si="2"/>
        <v>1.4946715883694199</v>
      </c>
      <c r="M63">
        <f t="shared" si="3"/>
        <v>1.38904987036755</v>
      </c>
    </row>
    <row r="64" spans="1:13">
      <c r="A64">
        <v>2016</v>
      </c>
      <c r="B64">
        <v>6</v>
      </c>
      <c r="C64">
        <v>14</v>
      </c>
      <c r="D64">
        <v>20</v>
      </c>
      <c r="E64">
        <v>173.13</v>
      </c>
      <c r="F64">
        <v>3.5</v>
      </c>
      <c r="G64">
        <v>1.32</v>
      </c>
      <c r="H64">
        <v>1.99</v>
      </c>
      <c r="I64">
        <v>0.82</v>
      </c>
      <c r="J64">
        <v>1</v>
      </c>
      <c r="K64">
        <v>2</v>
      </c>
      <c r="L64" s="1">
        <f t="shared" si="2"/>
        <v>1.93261354842718</v>
      </c>
      <c r="M64">
        <f t="shared" si="3"/>
        <v>1.1735041431549</v>
      </c>
    </row>
    <row r="65" spans="1:13">
      <c r="A65">
        <v>2016</v>
      </c>
      <c r="B65">
        <v>6</v>
      </c>
      <c r="C65">
        <v>14</v>
      </c>
      <c r="D65">
        <v>21</v>
      </c>
      <c r="E65">
        <v>184.11</v>
      </c>
      <c r="F65">
        <v>0.5</v>
      </c>
      <c r="G65">
        <v>1.5</v>
      </c>
      <c r="H65">
        <v>0.73</v>
      </c>
      <c r="I65">
        <v>1.31</v>
      </c>
      <c r="J65">
        <v>1.2</v>
      </c>
      <c r="K65">
        <v>1.5</v>
      </c>
      <c r="L65" s="1">
        <f t="shared" si="2"/>
        <v>1.1132000482002999</v>
      </c>
      <c r="M65">
        <f t="shared" si="3"/>
        <v>1.2479284225509599</v>
      </c>
    </row>
    <row r="66" spans="1:13">
      <c r="A66">
        <v>2016</v>
      </c>
      <c r="B66">
        <v>6</v>
      </c>
      <c r="C66">
        <v>14</v>
      </c>
      <c r="D66">
        <v>22</v>
      </c>
      <c r="E66">
        <v>187.32</v>
      </c>
      <c r="F66">
        <v>0</v>
      </c>
      <c r="G66">
        <v>0</v>
      </c>
      <c r="H66">
        <v>0.68</v>
      </c>
      <c r="I66">
        <v>1.19</v>
      </c>
      <c r="J66">
        <v>1.8</v>
      </c>
      <c r="K66">
        <v>0</v>
      </c>
      <c r="L66" s="1">
        <f t="shared" si="2"/>
        <v>0.34839419562921198</v>
      </c>
      <c r="M66">
        <f t="shared" si="3"/>
        <v>1.2696863402979</v>
      </c>
    </row>
    <row r="67" spans="1:13">
      <c r="A67">
        <v>2016</v>
      </c>
      <c r="B67">
        <v>6</v>
      </c>
      <c r="C67">
        <v>14</v>
      </c>
      <c r="D67">
        <v>23</v>
      </c>
      <c r="E67">
        <v>163.82</v>
      </c>
      <c r="F67">
        <v>0</v>
      </c>
      <c r="G67">
        <v>0</v>
      </c>
      <c r="H67">
        <v>0.62</v>
      </c>
      <c r="I67">
        <v>0</v>
      </c>
      <c r="J67">
        <v>0</v>
      </c>
      <c r="K67">
        <v>0</v>
      </c>
      <c r="L67" s="1">
        <f t="shared" si="2"/>
        <v>9.6078830088285702E-2</v>
      </c>
      <c r="M67">
        <f t="shared" si="3"/>
        <v>1.1103994035212601</v>
      </c>
    </row>
    <row r="68" spans="1:13">
      <c r="A68">
        <v>2016</v>
      </c>
      <c r="B68">
        <v>6</v>
      </c>
      <c r="C68">
        <v>15</v>
      </c>
      <c r="D68">
        <v>0</v>
      </c>
      <c r="E68">
        <v>139.26</v>
      </c>
      <c r="F68">
        <v>0</v>
      </c>
      <c r="G68">
        <v>0</v>
      </c>
      <c r="H68">
        <v>0.56999999999999995</v>
      </c>
      <c r="I68">
        <v>0</v>
      </c>
      <c r="J68">
        <v>0</v>
      </c>
      <c r="K68">
        <v>0</v>
      </c>
      <c r="L68" s="1">
        <f t="shared" si="2"/>
        <v>8.8330537339230394E-2</v>
      </c>
      <c r="M68">
        <f t="shared" si="3"/>
        <v>0.94392760917086005</v>
      </c>
    </row>
    <row r="69" spans="1:13">
      <c r="A69">
        <v>2016</v>
      </c>
      <c r="B69">
        <v>6</v>
      </c>
      <c r="C69">
        <v>15</v>
      </c>
      <c r="D69">
        <v>1</v>
      </c>
      <c r="E69">
        <v>122.6</v>
      </c>
      <c r="F69">
        <v>0.67</v>
      </c>
      <c r="G69">
        <v>0.5</v>
      </c>
      <c r="H69">
        <v>0.52</v>
      </c>
      <c r="I69">
        <v>0.33</v>
      </c>
      <c r="J69">
        <v>0</v>
      </c>
      <c r="K69">
        <v>0.5</v>
      </c>
      <c r="L69" s="1">
        <f t="shared" si="2"/>
        <v>0.49542748584586799</v>
      </c>
      <c r="M69">
        <f t="shared" ref="M69:M76" si="4">E69*3600/(1000*$L$1)</f>
        <v>0.83100333824750505</v>
      </c>
    </row>
    <row r="70" spans="1:13">
      <c r="A70">
        <v>2016</v>
      </c>
      <c r="B70">
        <v>6</v>
      </c>
      <c r="C70">
        <v>15</v>
      </c>
      <c r="D70">
        <v>2</v>
      </c>
      <c r="E70">
        <v>127</v>
      </c>
      <c r="F70">
        <v>1.33</v>
      </c>
      <c r="G70">
        <v>0</v>
      </c>
      <c r="H70">
        <v>0.46</v>
      </c>
      <c r="I70">
        <v>0.67</v>
      </c>
      <c r="J70">
        <v>0.5</v>
      </c>
      <c r="K70">
        <v>1</v>
      </c>
      <c r="L70" s="1">
        <f t="shared" si="2"/>
        <v>0.62288523997537304</v>
      </c>
      <c r="M70">
        <f t="shared" si="4"/>
        <v>0.86082727534611003</v>
      </c>
    </row>
    <row r="71" spans="1:13">
      <c r="A71">
        <v>2016</v>
      </c>
      <c r="B71">
        <v>6</v>
      </c>
      <c r="C71">
        <v>15</v>
      </c>
      <c r="D71">
        <v>3</v>
      </c>
      <c r="E71">
        <v>117.81</v>
      </c>
      <c r="F71">
        <v>0</v>
      </c>
      <c r="G71">
        <v>0</v>
      </c>
      <c r="H71">
        <v>0.41</v>
      </c>
      <c r="I71">
        <v>0</v>
      </c>
      <c r="J71">
        <v>0</v>
      </c>
      <c r="K71">
        <v>1.5</v>
      </c>
      <c r="L71" s="1">
        <f t="shared" si="2"/>
        <v>0.26789492710645701</v>
      </c>
      <c r="M71">
        <f t="shared" si="4"/>
        <v>0.79853591581515904</v>
      </c>
    </row>
    <row r="72" spans="1:13">
      <c r="A72">
        <v>2016</v>
      </c>
      <c r="B72">
        <v>6</v>
      </c>
      <c r="C72">
        <v>15</v>
      </c>
      <c r="D72">
        <v>4</v>
      </c>
      <c r="E72">
        <v>116</v>
      </c>
      <c r="F72">
        <v>0</v>
      </c>
      <c r="G72">
        <v>0</v>
      </c>
      <c r="H72">
        <v>0.35</v>
      </c>
      <c r="I72">
        <v>0</v>
      </c>
      <c r="J72">
        <v>0</v>
      </c>
      <c r="K72">
        <v>0</v>
      </c>
      <c r="L72" s="1">
        <f t="shared" si="2"/>
        <v>5.4238049243387099E-2</v>
      </c>
      <c r="M72">
        <f t="shared" si="4"/>
        <v>0.78626743259959697</v>
      </c>
    </row>
    <row r="73" spans="1:13">
      <c r="A73">
        <v>2016</v>
      </c>
      <c r="B73">
        <v>6</v>
      </c>
      <c r="C73">
        <v>15</v>
      </c>
      <c r="D73">
        <v>5</v>
      </c>
      <c r="E73">
        <v>142</v>
      </c>
      <c r="F73">
        <v>0</v>
      </c>
      <c r="G73">
        <v>0</v>
      </c>
      <c r="H73">
        <v>0.3</v>
      </c>
      <c r="I73">
        <v>0</v>
      </c>
      <c r="J73">
        <v>0</v>
      </c>
      <c r="K73">
        <v>0</v>
      </c>
      <c r="L73" s="1">
        <f t="shared" si="2"/>
        <v>4.6489756494331798E-2</v>
      </c>
      <c r="M73">
        <f t="shared" si="4"/>
        <v>0.962499788182265</v>
      </c>
    </row>
    <row r="74" spans="1:13">
      <c r="A74">
        <v>2016</v>
      </c>
      <c r="B74">
        <v>6</v>
      </c>
      <c r="C74">
        <v>15</v>
      </c>
      <c r="D74">
        <v>6</v>
      </c>
      <c r="E74">
        <v>106</v>
      </c>
      <c r="F74">
        <v>0</v>
      </c>
      <c r="G74">
        <v>0</v>
      </c>
      <c r="H74">
        <v>0.24</v>
      </c>
      <c r="I74">
        <v>0</v>
      </c>
      <c r="J74">
        <v>0</v>
      </c>
      <c r="K74">
        <v>0</v>
      </c>
      <c r="L74" s="1">
        <f t="shared" si="2"/>
        <v>3.7191805195465402E-2</v>
      </c>
      <c r="M74">
        <f t="shared" si="4"/>
        <v>0.71848575737549403</v>
      </c>
    </row>
    <row r="75" spans="1:13">
      <c r="A75">
        <v>2016</v>
      </c>
      <c r="B75">
        <v>6</v>
      </c>
      <c r="C75">
        <v>15</v>
      </c>
      <c r="D75">
        <v>7</v>
      </c>
      <c r="E75">
        <v>45.43</v>
      </c>
      <c r="F75">
        <v>0</v>
      </c>
      <c r="G75">
        <v>0</v>
      </c>
      <c r="H75">
        <v>0.19</v>
      </c>
      <c r="I75">
        <v>0</v>
      </c>
      <c r="J75">
        <v>0</v>
      </c>
      <c r="K75">
        <v>0</v>
      </c>
      <c r="L75" s="1">
        <f t="shared" si="2"/>
        <v>2.9443512446410101E-2</v>
      </c>
      <c r="M75">
        <f t="shared" si="4"/>
        <v>0.30793215054310102</v>
      </c>
    </row>
    <row r="76" spans="1:13">
      <c r="A76">
        <v>2016</v>
      </c>
      <c r="B76">
        <v>6</v>
      </c>
      <c r="C76">
        <v>15</v>
      </c>
      <c r="D76">
        <v>8</v>
      </c>
      <c r="E76">
        <v>24.4</v>
      </c>
      <c r="F76">
        <v>0</v>
      </c>
      <c r="G76">
        <v>0</v>
      </c>
      <c r="H76">
        <v>0.13</v>
      </c>
      <c r="I76">
        <v>0</v>
      </c>
      <c r="J76">
        <v>0</v>
      </c>
      <c r="K76">
        <v>0</v>
      </c>
      <c r="L76" s="1">
        <f t="shared" si="2"/>
        <v>2.0145561147543799E-2</v>
      </c>
      <c r="M76">
        <f t="shared" si="4"/>
        <v>0.16538728754681201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C000"/>
  </sheetPr>
  <dimension ref="A1:M31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2016</v>
      </c>
      <c r="B4">
        <v>8</v>
      </c>
      <c r="C4">
        <v>12</v>
      </c>
      <c r="D4">
        <v>6</v>
      </c>
      <c r="E4">
        <v>17.59</v>
      </c>
      <c r="F4">
        <v>3</v>
      </c>
      <c r="G4">
        <v>4</v>
      </c>
      <c r="H4">
        <v>5.5</v>
      </c>
      <c r="I4">
        <v>3.5</v>
      </c>
      <c r="J4">
        <v>3.5</v>
      </c>
      <c r="K4">
        <v>3</v>
      </c>
      <c r="L4" s="1">
        <f>F4*$F$2+G4*$G$2+H4*$H$2+I4*$I$2+J4*$J$2+K4*$K$2</f>
        <v>3.7784104067465401</v>
      </c>
      <c r="M4">
        <f>E4*3600/(1000*$L$1)</f>
        <v>0.119227966719197</v>
      </c>
    </row>
    <row r="5" spans="1:13">
      <c r="A5">
        <v>2016</v>
      </c>
      <c r="B5">
        <v>8</v>
      </c>
      <c r="C5">
        <v>12</v>
      </c>
      <c r="D5">
        <v>7</v>
      </c>
      <c r="E5">
        <v>22.89</v>
      </c>
      <c r="F5">
        <v>17.5</v>
      </c>
      <c r="G5">
        <v>23</v>
      </c>
      <c r="H5">
        <v>15.5</v>
      </c>
      <c r="I5">
        <v>15</v>
      </c>
      <c r="J5">
        <v>14</v>
      </c>
      <c r="K5">
        <v>4.5</v>
      </c>
      <c r="L5" s="1">
        <f t="shared" ref="L5:L31" si="0">F5*$F$2+G5*$G$2+H5*$H$2+I5*$I$2+J5*$J$2+K5*$K$2</f>
        <v>16.5789571789267</v>
      </c>
      <c r="M5">
        <f t="shared" ref="M5:M31" si="1">E5*3600/(1000*$L$1)</f>
        <v>0.15515225458797199</v>
      </c>
    </row>
    <row r="6" spans="1:13">
      <c r="A6">
        <v>2016</v>
      </c>
      <c r="B6">
        <v>8</v>
      </c>
      <c r="C6">
        <v>12</v>
      </c>
      <c r="D6">
        <v>8</v>
      </c>
      <c r="E6">
        <v>31.2</v>
      </c>
      <c r="F6">
        <v>45</v>
      </c>
      <c r="G6">
        <v>35.5</v>
      </c>
      <c r="H6">
        <v>8</v>
      </c>
      <c r="I6">
        <v>14.5</v>
      </c>
      <c r="J6">
        <v>1.5</v>
      </c>
      <c r="K6">
        <v>0.5</v>
      </c>
      <c r="L6" s="1">
        <f t="shared" si="0"/>
        <v>24.240222022642801</v>
      </c>
      <c r="M6">
        <f t="shared" si="1"/>
        <v>0.21147882669920201</v>
      </c>
    </row>
    <row r="7" spans="1:13">
      <c r="A7">
        <v>2016</v>
      </c>
      <c r="B7">
        <v>8</v>
      </c>
      <c r="C7">
        <v>12</v>
      </c>
      <c r="D7">
        <v>9</v>
      </c>
      <c r="E7">
        <v>65.69</v>
      </c>
      <c r="F7">
        <v>0.5</v>
      </c>
      <c r="G7">
        <v>18</v>
      </c>
      <c r="H7">
        <v>4.5</v>
      </c>
      <c r="I7">
        <v>3.5</v>
      </c>
      <c r="J7">
        <v>0.5</v>
      </c>
      <c r="K7">
        <v>2</v>
      </c>
      <c r="L7" s="1">
        <f t="shared" si="0"/>
        <v>6.9898685223783197</v>
      </c>
      <c r="M7">
        <f t="shared" si="1"/>
        <v>0.44525782454713397</v>
      </c>
    </row>
    <row r="8" spans="1:13">
      <c r="A8">
        <v>2016</v>
      </c>
      <c r="B8">
        <v>8</v>
      </c>
      <c r="C8">
        <v>12</v>
      </c>
      <c r="D8">
        <v>10</v>
      </c>
      <c r="E8">
        <v>82.8</v>
      </c>
      <c r="F8">
        <v>8</v>
      </c>
      <c r="G8">
        <v>12.5</v>
      </c>
      <c r="H8">
        <v>9</v>
      </c>
      <c r="I8">
        <v>3</v>
      </c>
      <c r="J8">
        <v>12.5</v>
      </c>
      <c r="K8">
        <v>12</v>
      </c>
      <c r="L8" s="1">
        <f t="shared" si="0"/>
        <v>9.6169892886124995</v>
      </c>
      <c r="M8">
        <f t="shared" si="1"/>
        <v>0.56123227085557403</v>
      </c>
    </row>
    <row r="9" spans="1:13">
      <c r="A9">
        <v>2016</v>
      </c>
      <c r="B9">
        <v>8</v>
      </c>
      <c r="C9">
        <v>12</v>
      </c>
      <c r="D9">
        <v>11</v>
      </c>
      <c r="E9">
        <v>207.43</v>
      </c>
      <c r="F9">
        <v>8</v>
      </c>
      <c r="G9">
        <v>6</v>
      </c>
      <c r="H9">
        <v>10</v>
      </c>
      <c r="I9">
        <v>19.5</v>
      </c>
      <c r="J9">
        <v>11.5</v>
      </c>
      <c r="K9">
        <v>1.87</v>
      </c>
      <c r="L9" s="1">
        <f t="shared" si="0"/>
        <v>8.5498276839189895</v>
      </c>
      <c r="M9">
        <f t="shared" si="1"/>
        <v>1.4059952891735701</v>
      </c>
    </row>
    <row r="10" spans="1:13">
      <c r="A10">
        <v>2016</v>
      </c>
      <c r="B10">
        <v>8</v>
      </c>
      <c r="C10">
        <v>12</v>
      </c>
      <c r="D10">
        <v>12</v>
      </c>
      <c r="E10">
        <v>385.78</v>
      </c>
      <c r="F10">
        <v>6</v>
      </c>
      <c r="G10">
        <v>12</v>
      </c>
      <c r="H10">
        <v>11.5</v>
      </c>
      <c r="I10">
        <v>13.5</v>
      </c>
      <c r="J10">
        <v>3.5</v>
      </c>
      <c r="K10">
        <v>1.33</v>
      </c>
      <c r="L10" s="1">
        <f t="shared" si="0"/>
        <v>8.8867923075329998</v>
      </c>
      <c r="M10">
        <f t="shared" si="1"/>
        <v>2.6148814667954499</v>
      </c>
    </row>
    <row r="11" spans="1:13">
      <c r="A11">
        <v>2016</v>
      </c>
      <c r="B11">
        <v>8</v>
      </c>
      <c r="C11">
        <v>12</v>
      </c>
      <c r="D11">
        <v>13</v>
      </c>
      <c r="E11">
        <v>471.49</v>
      </c>
      <c r="F11">
        <v>9</v>
      </c>
      <c r="G11">
        <v>14.5</v>
      </c>
      <c r="H11">
        <v>7</v>
      </c>
      <c r="I11">
        <v>8</v>
      </c>
      <c r="J11">
        <v>3.5</v>
      </c>
      <c r="K11">
        <v>0.8</v>
      </c>
      <c r="L11" s="1">
        <f t="shared" si="0"/>
        <v>8.8331058881564708</v>
      </c>
      <c r="M11">
        <f t="shared" si="1"/>
        <v>3.1958382051412402</v>
      </c>
    </row>
    <row r="12" spans="1:13">
      <c r="A12">
        <v>2016</v>
      </c>
      <c r="B12">
        <v>8</v>
      </c>
      <c r="C12">
        <v>12</v>
      </c>
      <c r="D12">
        <v>14</v>
      </c>
      <c r="E12">
        <v>468.43</v>
      </c>
      <c r="F12">
        <v>6</v>
      </c>
      <c r="G12">
        <v>7</v>
      </c>
      <c r="H12">
        <v>7.5</v>
      </c>
      <c r="I12">
        <v>6</v>
      </c>
      <c r="J12">
        <v>2.5</v>
      </c>
      <c r="K12">
        <v>4.5</v>
      </c>
      <c r="L12" s="1">
        <f t="shared" si="0"/>
        <v>6.1603554395735802</v>
      </c>
      <c r="M12">
        <f t="shared" si="1"/>
        <v>3.1750970125226599</v>
      </c>
    </row>
    <row r="13" spans="1:13">
      <c r="A13">
        <v>2016</v>
      </c>
      <c r="B13">
        <v>8</v>
      </c>
      <c r="C13">
        <v>12</v>
      </c>
      <c r="D13">
        <v>15</v>
      </c>
      <c r="E13">
        <v>460.11</v>
      </c>
      <c r="F13">
        <v>4.5</v>
      </c>
      <c r="G13">
        <v>7.5</v>
      </c>
      <c r="H13">
        <v>2.5</v>
      </c>
      <c r="I13">
        <v>6.5</v>
      </c>
      <c r="J13">
        <v>3.5</v>
      </c>
      <c r="K13">
        <v>4.5</v>
      </c>
      <c r="L13" s="1">
        <f t="shared" si="0"/>
        <v>5.3079330919552596</v>
      </c>
      <c r="M13">
        <f t="shared" si="1"/>
        <v>3.1187026587362099</v>
      </c>
    </row>
    <row r="14" spans="1:13">
      <c r="A14">
        <v>2016</v>
      </c>
      <c r="B14">
        <v>8</v>
      </c>
      <c r="C14">
        <v>12</v>
      </c>
      <c r="D14">
        <v>16</v>
      </c>
      <c r="E14">
        <v>458</v>
      </c>
      <c r="F14">
        <v>2</v>
      </c>
      <c r="G14">
        <v>0</v>
      </c>
      <c r="H14">
        <v>0</v>
      </c>
      <c r="I14">
        <v>0</v>
      </c>
      <c r="J14">
        <v>0</v>
      </c>
      <c r="K14">
        <v>0.5</v>
      </c>
      <c r="L14" s="1">
        <f t="shared" si="0"/>
        <v>0.524252659960046</v>
      </c>
      <c r="M14">
        <f t="shared" si="1"/>
        <v>3.1044007252639201</v>
      </c>
    </row>
    <row r="15" spans="1:13">
      <c r="A15">
        <v>2016</v>
      </c>
      <c r="B15">
        <v>8</v>
      </c>
      <c r="C15">
        <v>12</v>
      </c>
      <c r="D15">
        <v>17</v>
      </c>
      <c r="E15">
        <v>459.59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1">
        <f t="shared" si="0"/>
        <v>0</v>
      </c>
      <c r="M15">
        <f t="shared" si="1"/>
        <v>3.1151780116245602</v>
      </c>
    </row>
    <row r="16" spans="1:13">
      <c r="A16">
        <v>2016</v>
      </c>
      <c r="B16">
        <v>8</v>
      </c>
      <c r="C16">
        <v>12</v>
      </c>
      <c r="D16">
        <v>18</v>
      </c>
      <c r="E16">
        <v>400.42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f t="shared" si="0"/>
        <v>0</v>
      </c>
      <c r="M16">
        <f t="shared" si="1"/>
        <v>2.7141138393235398</v>
      </c>
    </row>
    <row r="17" spans="1:13">
      <c r="A17">
        <v>2016</v>
      </c>
      <c r="B17">
        <v>8</v>
      </c>
      <c r="C17">
        <v>12</v>
      </c>
      <c r="D17">
        <v>19</v>
      </c>
      <c r="E17">
        <v>210.03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">
        <f t="shared" si="0"/>
        <v>0</v>
      </c>
      <c r="M17">
        <f t="shared" si="1"/>
        <v>1.42361852473184</v>
      </c>
    </row>
    <row r="18" spans="1:13">
      <c r="A18">
        <v>2016</v>
      </c>
      <c r="B18">
        <v>8</v>
      </c>
      <c r="C18">
        <v>12</v>
      </c>
      <c r="D18">
        <v>20</v>
      </c>
      <c r="E18">
        <v>103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1">
        <f t="shared" si="0"/>
        <v>0</v>
      </c>
      <c r="M18">
        <f t="shared" si="1"/>
        <v>0.69815125480826301</v>
      </c>
    </row>
    <row r="19" spans="1:13">
      <c r="A19">
        <v>2016</v>
      </c>
      <c r="B19">
        <v>8</v>
      </c>
      <c r="C19">
        <v>12</v>
      </c>
      <c r="D19">
        <v>21</v>
      </c>
      <c r="E19">
        <v>222.79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1">
        <f t="shared" si="0"/>
        <v>0</v>
      </c>
      <c r="M19">
        <f t="shared" si="1"/>
        <v>1.5101079423177901</v>
      </c>
    </row>
    <row r="20" spans="1:13">
      <c r="A20">
        <v>2016</v>
      </c>
      <c r="B20">
        <v>8</v>
      </c>
      <c r="C20">
        <v>12</v>
      </c>
      <c r="D20">
        <v>22</v>
      </c>
      <c r="E20">
        <v>159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f t="shared" si="0"/>
        <v>0</v>
      </c>
      <c r="M20">
        <f t="shared" si="1"/>
        <v>1.0777286360632401</v>
      </c>
    </row>
    <row r="21" spans="1:13">
      <c r="A21">
        <v>2016</v>
      </c>
      <c r="B21">
        <v>8</v>
      </c>
      <c r="C21">
        <v>12</v>
      </c>
      <c r="D21">
        <v>23</v>
      </c>
      <c r="E21">
        <v>162.31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f t="shared" si="0"/>
        <v>0</v>
      </c>
      <c r="M21">
        <f t="shared" si="1"/>
        <v>1.10016437056242</v>
      </c>
    </row>
    <row r="22" spans="1:13">
      <c r="A22">
        <v>2016</v>
      </c>
      <c r="B22">
        <v>8</v>
      </c>
      <c r="C22">
        <v>13</v>
      </c>
      <c r="D22">
        <v>0</v>
      </c>
      <c r="E22">
        <v>157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f t="shared" si="0"/>
        <v>0</v>
      </c>
      <c r="M22">
        <f t="shared" si="1"/>
        <v>1.0641723010184201</v>
      </c>
    </row>
    <row r="23" spans="1:13">
      <c r="A23">
        <v>2016</v>
      </c>
      <c r="B23">
        <v>8</v>
      </c>
      <c r="C23">
        <v>13</v>
      </c>
      <c r="D23">
        <v>1</v>
      </c>
      <c r="E23">
        <v>148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1">
        <f t="shared" si="0"/>
        <v>0</v>
      </c>
      <c r="M23">
        <f t="shared" si="1"/>
        <v>1.0031687933167299</v>
      </c>
    </row>
    <row r="24" spans="1:13">
      <c r="A24">
        <v>2016</v>
      </c>
      <c r="B24">
        <v>8</v>
      </c>
      <c r="C24">
        <v>13</v>
      </c>
      <c r="D24">
        <v>2</v>
      </c>
      <c r="E24">
        <v>163.92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1">
        <f t="shared" si="0"/>
        <v>0</v>
      </c>
      <c r="M24">
        <f t="shared" si="1"/>
        <v>1.1110772202735</v>
      </c>
    </row>
    <row r="25" spans="1:13">
      <c r="A25">
        <v>2016</v>
      </c>
      <c r="B25">
        <v>8</v>
      </c>
      <c r="C25">
        <v>13</v>
      </c>
      <c r="D25">
        <v>3</v>
      </c>
      <c r="E25">
        <v>156.66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f t="shared" si="0"/>
        <v>0</v>
      </c>
      <c r="M25">
        <f t="shared" si="1"/>
        <v>1.0618677240608001</v>
      </c>
    </row>
    <row r="26" spans="1:13">
      <c r="A26">
        <v>2016</v>
      </c>
      <c r="B26">
        <v>8</v>
      </c>
      <c r="C26">
        <v>13</v>
      </c>
      <c r="D26">
        <v>4</v>
      </c>
      <c r="E26">
        <v>102.26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f t="shared" si="0"/>
        <v>0</v>
      </c>
      <c r="M26">
        <f t="shared" si="1"/>
        <v>0.69313541084167896</v>
      </c>
    </row>
    <row r="27" spans="1:13">
      <c r="A27">
        <v>2016</v>
      </c>
      <c r="B27">
        <v>8</v>
      </c>
      <c r="C27">
        <v>13</v>
      </c>
      <c r="D27">
        <v>5</v>
      </c>
      <c r="E27">
        <v>79.13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f t="shared" si="0"/>
        <v>0</v>
      </c>
      <c r="M27">
        <f t="shared" si="1"/>
        <v>0.53635639604832797</v>
      </c>
    </row>
    <row r="28" spans="1:13">
      <c r="A28">
        <v>2016</v>
      </c>
      <c r="B28">
        <v>8</v>
      </c>
      <c r="C28">
        <v>13</v>
      </c>
      <c r="D28">
        <v>6</v>
      </c>
      <c r="E28">
        <v>112.9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f t="shared" si="0"/>
        <v>0</v>
      </c>
      <c r="M28">
        <f t="shared" si="1"/>
        <v>0.76525511328012497</v>
      </c>
    </row>
    <row r="29" spans="1:13">
      <c r="A29">
        <v>2016</v>
      </c>
      <c r="B29">
        <v>8</v>
      </c>
      <c r="C29">
        <v>13</v>
      </c>
      <c r="D29">
        <v>7</v>
      </c>
      <c r="E29">
        <v>121.4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f t="shared" si="0"/>
        <v>0</v>
      </c>
      <c r="M29">
        <f t="shared" si="1"/>
        <v>0.82286953722061196</v>
      </c>
    </row>
    <row r="30" spans="1:13">
      <c r="A30">
        <v>2016</v>
      </c>
      <c r="B30">
        <v>8</v>
      </c>
      <c r="C30">
        <v>13</v>
      </c>
      <c r="D30">
        <v>8</v>
      </c>
      <c r="E30">
        <v>91.4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s="1">
        <f t="shared" si="0"/>
        <v>0</v>
      </c>
      <c r="M30">
        <f t="shared" si="1"/>
        <v>0.61952451154830301</v>
      </c>
    </row>
    <row r="31" spans="1:13">
      <c r="A31">
        <v>2016</v>
      </c>
      <c r="B31">
        <v>8</v>
      </c>
      <c r="C31">
        <v>13</v>
      </c>
      <c r="D31">
        <v>9</v>
      </c>
      <c r="E31">
        <v>58.42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f t="shared" si="0"/>
        <v>0</v>
      </c>
      <c r="M31">
        <f t="shared" si="1"/>
        <v>0.39598054665921101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C000"/>
  </sheetPr>
  <dimension ref="A1:M28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2017</v>
      </c>
      <c r="B4">
        <v>6</v>
      </c>
      <c r="C4">
        <v>6</v>
      </c>
      <c r="D4">
        <v>14</v>
      </c>
      <c r="E4">
        <v>9.5399999999999991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">
        <f>F4*$F$2+G4*$G$2+H4*$H$2+I4*$I$2+J4*$J$2+K4*$K$2</f>
        <v>0</v>
      </c>
      <c r="M4">
        <f>E4*3600/(1000*$L$1)</f>
        <v>6.4663718163794404E-2</v>
      </c>
    </row>
    <row r="5" spans="1:13">
      <c r="A5">
        <v>2017</v>
      </c>
      <c r="B5">
        <v>6</v>
      </c>
      <c r="C5">
        <v>6</v>
      </c>
      <c r="D5">
        <v>15</v>
      </c>
      <c r="E5">
        <v>15.39</v>
      </c>
      <c r="F5">
        <v>0</v>
      </c>
      <c r="G5">
        <v>0</v>
      </c>
      <c r="H5">
        <v>0.5</v>
      </c>
      <c r="I5">
        <v>0</v>
      </c>
      <c r="J5">
        <v>0</v>
      </c>
      <c r="K5">
        <v>3.5</v>
      </c>
      <c r="L5" s="1">
        <f t="shared" ref="L5:L28" si="0">F5*$F$2+G5*$G$2+H5*$H$2+I5*$I$2+J5*$J$2+K5*$K$2</f>
        <v>0.55432042280702898</v>
      </c>
      <c r="M5">
        <f t="shared" ref="M5:M28" si="1">E5*3600/(1000*$L$1)</f>
        <v>0.10431599816989499</v>
      </c>
    </row>
    <row r="6" spans="1:13">
      <c r="A6">
        <v>2017</v>
      </c>
      <c r="B6">
        <v>6</v>
      </c>
      <c r="C6">
        <v>6</v>
      </c>
      <c r="D6">
        <v>16</v>
      </c>
      <c r="E6">
        <v>25.3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f t="shared" si="0"/>
        <v>0</v>
      </c>
      <c r="M6">
        <f t="shared" si="1"/>
        <v>0.17148763831698099</v>
      </c>
    </row>
    <row r="7" spans="1:13">
      <c r="A7">
        <v>2017</v>
      </c>
      <c r="B7">
        <v>6</v>
      </c>
      <c r="C7">
        <v>6</v>
      </c>
      <c r="D7">
        <v>17</v>
      </c>
      <c r="E7">
        <v>37.44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">
        <f t="shared" si="0"/>
        <v>0</v>
      </c>
      <c r="M7">
        <f t="shared" si="1"/>
        <v>0.25377459203904201</v>
      </c>
    </row>
    <row r="8" spans="1:13">
      <c r="A8">
        <v>2017</v>
      </c>
      <c r="B8">
        <v>6</v>
      </c>
      <c r="C8">
        <v>6</v>
      </c>
      <c r="D8">
        <v>18</v>
      </c>
      <c r="E8">
        <v>34.43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">
        <f t="shared" si="0"/>
        <v>0</v>
      </c>
      <c r="M8">
        <f t="shared" si="1"/>
        <v>0.23337230779658699</v>
      </c>
    </row>
    <row r="9" spans="1:13">
      <c r="A9">
        <v>2017</v>
      </c>
      <c r="B9">
        <v>6</v>
      </c>
      <c r="C9">
        <v>6</v>
      </c>
      <c r="D9">
        <v>19</v>
      </c>
      <c r="E9">
        <v>19.14</v>
      </c>
      <c r="F9">
        <v>8</v>
      </c>
      <c r="G9">
        <v>0</v>
      </c>
      <c r="H9">
        <v>0</v>
      </c>
      <c r="I9">
        <v>0</v>
      </c>
      <c r="J9">
        <v>0</v>
      </c>
      <c r="K9">
        <v>0</v>
      </c>
      <c r="L9" s="1">
        <f t="shared" si="0"/>
        <v>1.82453207108791</v>
      </c>
      <c r="M9">
        <f t="shared" si="1"/>
        <v>0.129734126378933</v>
      </c>
    </row>
    <row r="10" spans="1:13">
      <c r="A10">
        <v>2017</v>
      </c>
      <c r="B10">
        <v>6</v>
      </c>
      <c r="C10">
        <v>6</v>
      </c>
      <c r="D10">
        <v>20</v>
      </c>
      <c r="E10">
        <v>16.11</v>
      </c>
      <c r="F10">
        <v>13</v>
      </c>
      <c r="G10">
        <v>9</v>
      </c>
      <c r="H10">
        <v>3.5</v>
      </c>
      <c r="I10">
        <v>2.5</v>
      </c>
      <c r="J10">
        <v>0</v>
      </c>
      <c r="K10">
        <v>10</v>
      </c>
      <c r="L10" s="1">
        <f t="shared" si="0"/>
        <v>7.9089569718160098</v>
      </c>
      <c r="M10">
        <f t="shared" si="1"/>
        <v>0.10919627878603</v>
      </c>
    </row>
    <row r="11" spans="1:13">
      <c r="A11">
        <v>2017</v>
      </c>
      <c r="B11">
        <v>6</v>
      </c>
      <c r="C11">
        <v>6</v>
      </c>
      <c r="D11">
        <v>21</v>
      </c>
      <c r="E11">
        <v>66.89</v>
      </c>
      <c r="F11">
        <v>1</v>
      </c>
      <c r="G11">
        <v>14.5</v>
      </c>
      <c r="H11">
        <v>0</v>
      </c>
      <c r="I11">
        <v>9</v>
      </c>
      <c r="J11">
        <v>30.5</v>
      </c>
      <c r="K11">
        <v>15.5</v>
      </c>
      <c r="L11" s="1">
        <f t="shared" si="0"/>
        <v>9.3614062438219907</v>
      </c>
      <c r="M11">
        <f t="shared" si="1"/>
        <v>0.45339162557402601</v>
      </c>
    </row>
    <row r="12" spans="1:13">
      <c r="A12">
        <v>2017</v>
      </c>
      <c r="B12">
        <v>6</v>
      </c>
      <c r="C12">
        <v>6</v>
      </c>
      <c r="D12">
        <v>22</v>
      </c>
      <c r="E12">
        <v>207.82</v>
      </c>
      <c r="F12">
        <v>3</v>
      </c>
      <c r="G12">
        <v>10.5</v>
      </c>
      <c r="H12">
        <v>37.5</v>
      </c>
      <c r="I12">
        <v>34.5</v>
      </c>
      <c r="J12">
        <v>21</v>
      </c>
      <c r="K12">
        <v>8</v>
      </c>
      <c r="L12" s="1">
        <f t="shared" si="0"/>
        <v>16.288297117207701</v>
      </c>
      <c r="M12">
        <f t="shared" si="1"/>
        <v>1.4086387745073099</v>
      </c>
    </row>
    <row r="13" spans="1:13">
      <c r="A13">
        <v>2017</v>
      </c>
      <c r="B13">
        <v>6</v>
      </c>
      <c r="C13">
        <v>6</v>
      </c>
      <c r="D13">
        <v>23</v>
      </c>
      <c r="E13">
        <v>220.25</v>
      </c>
      <c r="F13">
        <v>1.1100000000000001</v>
      </c>
      <c r="G13">
        <v>0</v>
      </c>
      <c r="H13">
        <v>13.5</v>
      </c>
      <c r="I13">
        <v>0.95</v>
      </c>
      <c r="J13">
        <v>8</v>
      </c>
      <c r="K13">
        <v>1.43</v>
      </c>
      <c r="L13" s="1">
        <f t="shared" si="0"/>
        <v>3.0509164082490301</v>
      </c>
      <c r="M13">
        <f t="shared" si="1"/>
        <v>1.4928913968108699</v>
      </c>
    </row>
    <row r="14" spans="1:13">
      <c r="A14">
        <v>2017</v>
      </c>
      <c r="B14">
        <v>6</v>
      </c>
      <c r="C14">
        <v>7</v>
      </c>
      <c r="D14">
        <v>0</v>
      </c>
      <c r="E14">
        <v>164</v>
      </c>
      <c r="F14">
        <v>1.17</v>
      </c>
      <c r="G14">
        <v>0.5</v>
      </c>
      <c r="H14">
        <v>10</v>
      </c>
      <c r="I14">
        <v>0.05</v>
      </c>
      <c r="J14">
        <v>3</v>
      </c>
      <c r="K14">
        <v>0.56999999999999995</v>
      </c>
      <c r="L14" s="1">
        <f t="shared" si="0"/>
        <v>2.19619844591681</v>
      </c>
      <c r="M14">
        <f t="shared" si="1"/>
        <v>1.11161947367529</v>
      </c>
    </row>
    <row r="15" spans="1:13">
      <c r="A15">
        <v>2017</v>
      </c>
      <c r="B15">
        <v>6</v>
      </c>
      <c r="C15">
        <v>7</v>
      </c>
      <c r="D15">
        <v>1</v>
      </c>
      <c r="E15">
        <v>171.7</v>
      </c>
      <c r="F15">
        <v>1.22</v>
      </c>
      <c r="G15">
        <v>0</v>
      </c>
      <c r="H15">
        <v>0</v>
      </c>
      <c r="I15">
        <v>0</v>
      </c>
      <c r="J15">
        <v>0.5</v>
      </c>
      <c r="K15">
        <v>0</v>
      </c>
      <c r="L15" s="1">
        <f t="shared" si="0"/>
        <v>0.30238365557871399</v>
      </c>
      <c r="M15">
        <f t="shared" si="1"/>
        <v>1.16381136359785</v>
      </c>
    </row>
    <row r="16" spans="1:13">
      <c r="A16">
        <v>2017</v>
      </c>
      <c r="B16">
        <v>6</v>
      </c>
      <c r="C16">
        <v>7</v>
      </c>
      <c r="D16">
        <v>2</v>
      </c>
      <c r="E16">
        <v>163.41999999999999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f t="shared" si="0"/>
        <v>0</v>
      </c>
      <c r="M16">
        <f t="shared" si="1"/>
        <v>1.1076881365122899</v>
      </c>
    </row>
    <row r="17" spans="1:13">
      <c r="A17">
        <v>2017</v>
      </c>
      <c r="B17">
        <v>6</v>
      </c>
      <c r="C17">
        <v>7</v>
      </c>
      <c r="D17">
        <v>3</v>
      </c>
      <c r="E17">
        <v>142.35</v>
      </c>
      <c r="F17">
        <v>0.5</v>
      </c>
      <c r="G17">
        <v>0</v>
      </c>
      <c r="H17">
        <v>0</v>
      </c>
      <c r="I17">
        <v>0</v>
      </c>
      <c r="J17">
        <v>0</v>
      </c>
      <c r="K17">
        <v>0</v>
      </c>
      <c r="L17" s="1">
        <f t="shared" si="0"/>
        <v>0.114033254442995</v>
      </c>
      <c r="M17">
        <f t="shared" si="1"/>
        <v>0.96487214681510902</v>
      </c>
    </row>
    <row r="18" spans="1:13">
      <c r="A18">
        <v>2017</v>
      </c>
      <c r="B18">
        <v>6</v>
      </c>
      <c r="C18">
        <v>7</v>
      </c>
      <c r="D18">
        <v>4</v>
      </c>
      <c r="E18">
        <v>115.13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1">
        <f t="shared" si="0"/>
        <v>0</v>
      </c>
      <c r="M18">
        <f t="shared" si="1"/>
        <v>0.78037042685510005</v>
      </c>
    </row>
    <row r="19" spans="1:13">
      <c r="A19">
        <v>2017</v>
      </c>
      <c r="B19">
        <v>6</v>
      </c>
      <c r="C19">
        <v>7</v>
      </c>
      <c r="D19">
        <v>5</v>
      </c>
      <c r="E19">
        <v>106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1">
        <f t="shared" si="0"/>
        <v>0</v>
      </c>
      <c r="M19">
        <f t="shared" si="1"/>
        <v>0.71848575737549403</v>
      </c>
    </row>
    <row r="20" spans="1:13">
      <c r="A20">
        <v>2017</v>
      </c>
      <c r="B20">
        <v>6</v>
      </c>
      <c r="C20">
        <v>7</v>
      </c>
      <c r="D20">
        <v>6</v>
      </c>
      <c r="E20">
        <v>96.79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f t="shared" si="0"/>
        <v>0</v>
      </c>
      <c r="M20">
        <f t="shared" si="1"/>
        <v>0.65605883449409497</v>
      </c>
    </row>
    <row r="21" spans="1:13">
      <c r="A21">
        <v>2017</v>
      </c>
      <c r="B21">
        <v>6</v>
      </c>
      <c r="C21">
        <v>7</v>
      </c>
      <c r="D21">
        <v>7</v>
      </c>
      <c r="E21">
        <v>76.599999999999994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f t="shared" si="0"/>
        <v>0</v>
      </c>
      <c r="M21">
        <f t="shared" si="1"/>
        <v>0.51920763221663002</v>
      </c>
    </row>
    <row r="22" spans="1:13">
      <c r="A22">
        <v>2017</v>
      </c>
      <c r="B22">
        <v>6</v>
      </c>
      <c r="C22">
        <v>7</v>
      </c>
      <c r="D22">
        <v>8</v>
      </c>
      <c r="E22">
        <v>77.7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f t="shared" si="0"/>
        <v>0</v>
      </c>
      <c r="M22">
        <f t="shared" si="1"/>
        <v>0.52666361649128202</v>
      </c>
    </row>
    <row r="23" spans="1:13">
      <c r="A23">
        <v>2017</v>
      </c>
      <c r="B23">
        <v>6</v>
      </c>
      <c r="C23">
        <v>7</v>
      </c>
      <c r="D23">
        <v>9</v>
      </c>
      <c r="E23">
        <v>62.41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1">
        <f t="shared" si="0"/>
        <v>0</v>
      </c>
      <c r="M23">
        <f t="shared" si="1"/>
        <v>0.423025435073628</v>
      </c>
    </row>
    <row r="24" spans="1:13">
      <c r="A24">
        <v>2017</v>
      </c>
      <c r="B24">
        <v>6</v>
      </c>
      <c r="C24">
        <v>7</v>
      </c>
      <c r="D24">
        <v>10</v>
      </c>
      <c r="E24">
        <v>60.8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1">
        <f t="shared" si="0"/>
        <v>0</v>
      </c>
      <c r="M24">
        <f t="shared" si="1"/>
        <v>0.41211258536254702</v>
      </c>
    </row>
    <row r="25" spans="1:13">
      <c r="A25">
        <v>2017</v>
      </c>
      <c r="B25">
        <v>6</v>
      </c>
      <c r="C25">
        <v>7</v>
      </c>
      <c r="D25">
        <v>11</v>
      </c>
      <c r="E25">
        <v>62.68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f t="shared" si="0"/>
        <v>0</v>
      </c>
      <c r="M25">
        <f t="shared" si="1"/>
        <v>0.42485554030467898</v>
      </c>
    </row>
    <row r="26" spans="1:13">
      <c r="A26">
        <v>2017</v>
      </c>
      <c r="B26">
        <v>6</v>
      </c>
      <c r="C26">
        <v>7</v>
      </c>
      <c r="D26">
        <v>12</v>
      </c>
      <c r="E26">
        <v>56.4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f t="shared" si="0"/>
        <v>0</v>
      </c>
      <c r="M26">
        <f t="shared" si="1"/>
        <v>0.38228864826394199</v>
      </c>
    </row>
    <row r="27" spans="1:13">
      <c r="A27">
        <v>2017</v>
      </c>
      <c r="B27">
        <v>6</v>
      </c>
      <c r="C27">
        <v>7</v>
      </c>
      <c r="D27">
        <v>13</v>
      </c>
      <c r="E27">
        <v>50.24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f t="shared" si="0"/>
        <v>0</v>
      </c>
      <c r="M27">
        <f t="shared" si="1"/>
        <v>0.34053513632589399</v>
      </c>
    </row>
    <row r="28" spans="1:13">
      <c r="A28">
        <v>2017</v>
      </c>
      <c r="B28">
        <v>6</v>
      </c>
      <c r="C28">
        <v>7</v>
      </c>
      <c r="D28">
        <v>14</v>
      </c>
      <c r="E28">
        <v>46.92</v>
      </c>
      <c r="F28">
        <v>0.5</v>
      </c>
      <c r="G28">
        <v>0</v>
      </c>
      <c r="H28">
        <v>0</v>
      </c>
      <c r="I28">
        <v>0</v>
      </c>
      <c r="J28">
        <v>0</v>
      </c>
      <c r="K28">
        <v>0</v>
      </c>
      <c r="L28" s="1">
        <f t="shared" si="0"/>
        <v>0.114033254442995</v>
      </c>
      <c r="M28">
        <f t="shared" si="1"/>
        <v>0.318031620151492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C000"/>
  </sheetPr>
  <dimension ref="A1:M69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2017</v>
      </c>
      <c r="B4">
        <v>6</v>
      </c>
      <c r="C4">
        <v>15</v>
      </c>
      <c r="D4">
        <v>16</v>
      </c>
      <c r="E4">
        <v>45.98</v>
      </c>
      <c r="F4">
        <v>0</v>
      </c>
      <c r="G4">
        <v>0</v>
      </c>
      <c r="H4">
        <v>1.33</v>
      </c>
      <c r="I4">
        <v>0</v>
      </c>
      <c r="J4">
        <v>0</v>
      </c>
      <c r="K4">
        <v>0</v>
      </c>
      <c r="L4" s="1">
        <f>F4*$F$2+G4*$G$2+H4*$H$2+I4*$I$2+J4*$J$2+K4*$K$2</f>
        <v>0.20610458712487101</v>
      </c>
      <c r="M4">
        <f>E4*3600/(1000*$L$1)</f>
        <v>0.31166014268042602</v>
      </c>
    </row>
    <row r="5" spans="1:13">
      <c r="A5">
        <v>2017</v>
      </c>
      <c r="B5">
        <v>6</v>
      </c>
      <c r="C5">
        <v>15</v>
      </c>
      <c r="D5">
        <v>17</v>
      </c>
      <c r="E5">
        <v>23.86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f t="shared" ref="L5:L36" si="0">F5*$F$2+G5*$G$2+H5*$H$2+I5*$I$2+J5*$J$2+K5*$K$2</f>
        <v>0</v>
      </c>
      <c r="M5">
        <f t="shared" ref="M5:M36" si="1">E5*3600/(1000*$L$1)</f>
        <v>0.16172707708471001</v>
      </c>
    </row>
    <row r="6" spans="1:13">
      <c r="A6">
        <v>2017</v>
      </c>
      <c r="B6">
        <v>6</v>
      </c>
      <c r="C6">
        <v>15</v>
      </c>
      <c r="D6">
        <v>18</v>
      </c>
      <c r="E6">
        <v>49.9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f t="shared" si="0"/>
        <v>0</v>
      </c>
      <c r="M6">
        <f t="shared" si="1"/>
        <v>0.33823055936827501</v>
      </c>
    </row>
    <row r="7" spans="1:13">
      <c r="A7">
        <v>2017</v>
      </c>
      <c r="B7">
        <v>6</v>
      </c>
      <c r="C7">
        <v>15</v>
      </c>
      <c r="D7">
        <v>19</v>
      </c>
      <c r="E7">
        <v>25.14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">
        <f t="shared" si="0"/>
        <v>0</v>
      </c>
      <c r="M7">
        <f t="shared" si="1"/>
        <v>0.17040313151339501</v>
      </c>
    </row>
    <row r="8" spans="1:13">
      <c r="A8">
        <v>2017</v>
      </c>
      <c r="B8">
        <v>6</v>
      </c>
      <c r="C8">
        <v>15</v>
      </c>
      <c r="D8">
        <v>20</v>
      </c>
      <c r="E8">
        <v>38.21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">
        <f t="shared" si="0"/>
        <v>0</v>
      </c>
      <c r="M8">
        <f t="shared" si="1"/>
        <v>0.258993781031298</v>
      </c>
    </row>
    <row r="9" spans="1:13">
      <c r="A9">
        <v>2017</v>
      </c>
      <c r="B9">
        <v>6</v>
      </c>
      <c r="C9">
        <v>15</v>
      </c>
      <c r="D9">
        <v>21</v>
      </c>
      <c r="E9">
        <v>56.17</v>
      </c>
      <c r="F9">
        <v>0</v>
      </c>
      <c r="G9">
        <v>0</v>
      </c>
      <c r="H9">
        <v>0</v>
      </c>
      <c r="I9">
        <v>0</v>
      </c>
      <c r="J9">
        <v>0.5</v>
      </c>
      <c r="K9">
        <v>0</v>
      </c>
      <c r="L9" s="1">
        <f t="shared" si="0"/>
        <v>2.4142514737807302E-2</v>
      </c>
      <c r="M9">
        <f t="shared" si="1"/>
        <v>0.38072966973378702</v>
      </c>
    </row>
    <row r="10" spans="1:13">
      <c r="A10">
        <v>2017</v>
      </c>
      <c r="B10">
        <v>6</v>
      </c>
      <c r="C10">
        <v>15</v>
      </c>
      <c r="D10">
        <v>22</v>
      </c>
      <c r="E10">
        <v>62.47</v>
      </c>
      <c r="F10">
        <v>0</v>
      </c>
      <c r="G10">
        <v>0</v>
      </c>
      <c r="H10">
        <v>0.5</v>
      </c>
      <c r="I10">
        <v>0</v>
      </c>
      <c r="J10">
        <v>1</v>
      </c>
      <c r="K10">
        <v>0</v>
      </c>
      <c r="L10" s="1">
        <f t="shared" si="0"/>
        <v>0.12576795696616799</v>
      </c>
      <c r="M10">
        <f t="shared" si="1"/>
        <v>0.42343212512497203</v>
      </c>
    </row>
    <row r="11" spans="1:13">
      <c r="A11">
        <v>2017</v>
      </c>
      <c r="B11">
        <v>6</v>
      </c>
      <c r="C11">
        <v>15</v>
      </c>
      <c r="D11">
        <v>23</v>
      </c>
      <c r="E11">
        <v>70.52</v>
      </c>
      <c r="F11">
        <v>1</v>
      </c>
      <c r="G11">
        <v>1.5</v>
      </c>
      <c r="H11">
        <v>0</v>
      </c>
      <c r="I11">
        <v>3</v>
      </c>
      <c r="J11">
        <v>0.5</v>
      </c>
      <c r="K11">
        <v>0</v>
      </c>
      <c r="L11" s="1">
        <f t="shared" si="0"/>
        <v>1.0976442102210999</v>
      </c>
      <c r="M11">
        <f t="shared" si="1"/>
        <v>0.47799637368037601</v>
      </c>
    </row>
    <row r="12" spans="1:13">
      <c r="A12">
        <v>2017</v>
      </c>
      <c r="B12">
        <v>6</v>
      </c>
      <c r="C12">
        <v>16</v>
      </c>
      <c r="D12">
        <v>0</v>
      </c>
      <c r="E12">
        <v>86.09</v>
      </c>
      <c r="F12">
        <v>0</v>
      </c>
      <c r="G12">
        <v>3.5</v>
      </c>
      <c r="H12">
        <v>3.5</v>
      </c>
      <c r="I12">
        <v>4.5</v>
      </c>
      <c r="J12">
        <v>4.5</v>
      </c>
      <c r="K12">
        <v>0.5</v>
      </c>
      <c r="L12" s="1">
        <f t="shared" si="0"/>
        <v>2.4725145306966301</v>
      </c>
      <c r="M12">
        <f t="shared" si="1"/>
        <v>0.58353244200430399</v>
      </c>
    </row>
    <row r="13" spans="1:13">
      <c r="A13">
        <v>2017</v>
      </c>
      <c r="B13">
        <v>6</v>
      </c>
      <c r="C13">
        <v>16</v>
      </c>
      <c r="D13">
        <v>1</v>
      </c>
      <c r="E13">
        <v>64.739999999999995</v>
      </c>
      <c r="F13">
        <v>14</v>
      </c>
      <c r="G13">
        <v>15</v>
      </c>
      <c r="H13">
        <v>13</v>
      </c>
      <c r="I13">
        <v>14.5</v>
      </c>
      <c r="J13">
        <v>11.5</v>
      </c>
      <c r="K13">
        <v>0</v>
      </c>
      <c r="L13" s="1">
        <f t="shared" si="0"/>
        <v>12.183824844619901</v>
      </c>
      <c r="M13">
        <f t="shared" si="1"/>
        <v>0.43881856540084402</v>
      </c>
    </row>
    <row r="14" spans="1:13">
      <c r="A14">
        <v>2017</v>
      </c>
      <c r="B14">
        <v>6</v>
      </c>
      <c r="C14">
        <v>16</v>
      </c>
      <c r="D14">
        <v>2</v>
      </c>
      <c r="E14">
        <v>36.450000000000003</v>
      </c>
      <c r="F14">
        <v>14</v>
      </c>
      <c r="G14">
        <v>12</v>
      </c>
      <c r="H14">
        <v>3</v>
      </c>
      <c r="I14">
        <v>5</v>
      </c>
      <c r="J14">
        <v>3</v>
      </c>
      <c r="K14">
        <v>14.5</v>
      </c>
      <c r="L14" s="1">
        <f t="shared" si="0"/>
        <v>10.0492123204492</v>
      </c>
      <c r="M14">
        <f t="shared" si="1"/>
        <v>0.24706420619185601</v>
      </c>
    </row>
    <row r="15" spans="1:13">
      <c r="A15">
        <v>2017</v>
      </c>
      <c r="B15">
        <v>6</v>
      </c>
      <c r="C15">
        <v>16</v>
      </c>
      <c r="D15">
        <v>3</v>
      </c>
      <c r="E15">
        <v>55.64</v>
      </c>
      <c r="F15">
        <v>0</v>
      </c>
      <c r="G15">
        <v>0</v>
      </c>
      <c r="H15">
        <v>0</v>
      </c>
      <c r="I15">
        <v>0</v>
      </c>
      <c r="J15">
        <v>0</v>
      </c>
      <c r="K15">
        <v>1.96</v>
      </c>
      <c r="L15" s="1">
        <f t="shared" si="0"/>
        <v>0.26702899737722702</v>
      </c>
      <c r="M15">
        <f t="shared" si="1"/>
        <v>0.37713724094690998</v>
      </c>
    </row>
    <row r="16" spans="1:13">
      <c r="A16">
        <v>2017</v>
      </c>
      <c r="B16">
        <v>6</v>
      </c>
      <c r="C16">
        <v>16</v>
      </c>
      <c r="D16">
        <v>4</v>
      </c>
      <c r="E16">
        <v>66.099999999999994</v>
      </c>
      <c r="F16">
        <v>0</v>
      </c>
      <c r="G16">
        <v>0</v>
      </c>
      <c r="H16">
        <v>0</v>
      </c>
      <c r="I16">
        <v>0</v>
      </c>
      <c r="J16">
        <v>0</v>
      </c>
      <c r="K16">
        <v>1.33</v>
      </c>
      <c r="L16" s="1">
        <f t="shared" si="0"/>
        <v>0.18119824822026101</v>
      </c>
      <c r="M16">
        <f t="shared" si="1"/>
        <v>0.44803687323132202</v>
      </c>
    </row>
    <row r="17" spans="1:13">
      <c r="A17">
        <v>2017</v>
      </c>
      <c r="B17">
        <v>6</v>
      </c>
      <c r="C17">
        <v>16</v>
      </c>
      <c r="D17">
        <v>5</v>
      </c>
      <c r="E17">
        <v>68.180000000000007</v>
      </c>
      <c r="F17">
        <v>10.5</v>
      </c>
      <c r="G17">
        <v>0</v>
      </c>
      <c r="H17">
        <v>0</v>
      </c>
      <c r="I17">
        <v>0.5</v>
      </c>
      <c r="J17">
        <v>0</v>
      </c>
      <c r="K17">
        <v>0.71</v>
      </c>
      <c r="L17" s="1">
        <f t="shared" si="0"/>
        <v>2.5570183029351301</v>
      </c>
      <c r="M17">
        <f t="shared" si="1"/>
        <v>0.46213546167793501</v>
      </c>
    </row>
    <row r="18" spans="1:13">
      <c r="A18">
        <v>2017</v>
      </c>
      <c r="B18">
        <v>6</v>
      </c>
      <c r="C18">
        <v>16</v>
      </c>
      <c r="D18">
        <v>6</v>
      </c>
      <c r="E18">
        <v>66.290000000000006</v>
      </c>
      <c r="F18">
        <v>1.5</v>
      </c>
      <c r="G18">
        <v>30.5</v>
      </c>
      <c r="H18">
        <v>1.5</v>
      </c>
      <c r="I18">
        <v>21</v>
      </c>
      <c r="J18">
        <v>10</v>
      </c>
      <c r="K18">
        <v>8</v>
      </c>
      <c r="L18" s="1">
        <f t="shared" si="0"/>
        <v>14.090623158362501</v>
      </c>
      <c r="M18">
        <f t="shared" si="1"/>
        <v>0.44932472506058002</v>
      </c>
    </row>
    <row r="19" spans="1:13">
      <c r="A19">
        <v>2017</v>
      </c>
      <c r="B19">
        <v>6</v>
      </c>
      <c r="C19">
        <v>16</v>
      </c>
      <c r="D19">
        <v>7</v>
      </c>
      <c r="E19">
        <v>64.510000000000005</v>
      </c>
      <c r="F19">
        <v>3.5</v>
      </c>
      <c r="G19">
        <v>3.9</v>
      </c>
      <c r="H19">
        <v>3</v>
      </c>
      <c r="I19">
        <v>1.7</v>
      </c>
      <c r="J19">
        <v>1.5</v>
      </c>
      <c r="K19">
        <v>0.82</v>
      </c>
      <c r="L19" s="1">
        <f t="shared" si="0"/>
        <v>2.8452067623518</v>
      </c>
      <c r="M19">
        <f t="shared" si="1"/>
        <v>0.43725958687069</v>
      </c>
    </row>
    <row r="20" spans="1:13">
      <c r="A20">
        <v>2017</v>
      </c>
      <c r="B20">
        <v>6</v>
      </c>
      <c r="C20">
        <v>16</v>
      </c>
      <c r="D20">
        <v>8</v>
      </c>
      <c r="E20">
        <v>58.3</v>
      </c>
      <c r="F20">
        <v>1.5</v>
      </c>
      <c r="G20">
        <v>1.1000000000000001</v>
      </c>
      <c r="H20">
        <v>4.5</v>
      </c>
      <c r="I20">
        <v>0.3</v>
      </c>
      <c r="J20">
        <v>0.5</v>
      </c>
      <c r="K20">
        <v>0.18</v>
      </c>
      <c r="L20" s="1">
        <f t="shared" si="0"/>
        <v>1.45885524281844</v>
      </c>
      <c r="M20">
        <f t="shared" si="1"/>
        <v>0.39516716655652101</v>
      </c>
    </row>
    <row r="21" spans="1:13">
      <c r="A21">
        <v>2017</v>
      </c>
      <c r="B21">
        <v>6</v>
      </c>
      <c r="C21">
        <v>16</v>
      </c>
      <c r="D21">
        <v>9</v>
      </c>
      <c r="E21">
        <v>53.92</v>
      </c>
      <c r="F21">
        <v>34</v>
      </c>
      <c r="G21">
        <v>4.5</v>
      </c>
      <c r="H21">
        <v>16</v>
      </c>
      <c r="I21">
        <v>6</v>
      </c>
      <c r="J21">
        <v>7.5</v>
      </c>
      <c r="K21">
        <v>12.5</v>
      </c>
      <c r="L21" s="1">
        <f t="shared" si="0"/>
        <v>14.441608911030899</v>
      </c>
      <c r="M21">
        <f t="shared" si="1"/>
        <v>0.36547879280836398</v>
      </c>
    </row>
    <row r="22" spans="1:13">
      <c r="A22">
        <v>2017</v>
      </c>
      <c r="B22">
        <v>6</v>
      </c>
      <c r="C22">
        <v>16</v>
      </c>
      <c r="D22">
        <v>10</v>
      </c>
      <c r="E22">
        <v>56.89</v>
      </c>
      <c r="F22">
        <v>4</v>
      </c>
      <c r="G22">
        <v>5</v>
      </c>
      <c r="H22">
        <v>6</v>
      </c>
      <c r="I22">
        <v>5.5</v>
      </c>
      <c r="J22">
        <v>4</v>
      </c>
      <c r="K22">
        <v>14</v>
      </c>
      <c r="L22" s="1">
        <f t="shared" si="0"/>
        <v>6.1703579437299201</v>
      </c>
      <c r="M22">
        <f t="shared" si="1"/>
        <v>0.38560995034992301</v>
      </c>
    </row>
    <row r="23" spans="1:13">
      <c r="A23">
        <v>2017</v>
      </c>
      <c r="B23">
        <v>6</v>
      </c>
      <c r="C23">
        <v>16</v>
      </c>
      <c r="D23">
        <v>11</v>
      </c>
      <c r="E23">
        <v>56.71</v>
      </c>
      <c r="F23">
        <v>10.5</v>
      </c>
      <c r="G23">
        <v>7.5</v>
      </c>
      <c r="H23">
        <v>8</v>
      </c>
      <c r="I23">
        <v>7.5</v>
      </c>
      <c r="J23">
        <v>5.5</v>
      </c>
      <c r="K23">
        <v>7</v>
      </c>
      <c r="L23" s="1">
        <f t="shared" si="0"/>
        <v>8.0969927530092303</v>
      </c>
      <c r="M23">
        <f t="shared" si="1"/>
        <v>0.38438988019588899</v>
      </c>
    </row>
    <row r="24" spans="1:13">
      <c r="A24">
        <v>2017</v>
      </c>
      <c r="B24">
        <v>6</v>
      </c>
      <c r="C24">
        <v>16</v>
      </c>
      <c r="D24">
        <v>12</v>
      </c>
      <c r="E24">
        <v>63.09</v>
      </c>
      <c r="F24">
        <v>0.5</v>
      </c>
      <c r="G24">
        <v>0</v>
      </c>
      <c r="H24">
        <v>1</v>
      </c>
      <c r="I24">
        <v>0.5</v>
      </c>
      <c r="J24">
        <v>1.3</v>
      </c>
      <c r="K24">
        <v>1.1100000000000001</v>
      </c>
      <c r="L24" s="1">
        <f t="shared" si="0"/>
        <v>0.54858532112510106</v>
      </c>
      <c r="M24">
        <f t="shared" si="1"/>
        <v>0.42763458898886703</v>
      </c>
    </row>
    <row r="25" spans="1:13">
      <c r="A25">
        <v>2017</v>
      </c>
      <c r="B25">
        <v>6</v>
      </c>
      <c r="C25">
        <v>16</v>
      </c>
      <c r="D25">
        <v>13</v>
      </c>
      <c r="E25">
        <v>94.8</v>
      </c>
      <c r="F25">
        <v>0</v>
      </c>
      <c r="G25">
        <v>0</v>
      </c>
      <c r="H25">
        <v>0</v>
      </c>
      <c r="I25">
        <v>0</v>
      </c>
      <c r="J25">
        <v>0.7</v>
      </c>
      <c r="K25">
        <v>0.39</v>
      </c>
      <c r="L25" s="1">
        <f t="shared" si="0"/>
        <v>8.6932841539623301E-2</v>
      </c>
      <c r="M25">
        <f t="shared" si="1"/>
        <v>0.64257028112449799</v>
      </c>
    </row>
    <row r="26" spans="1:13">
      <c r="A26">
        <v>2017</v>
      </c>
      <c r="B26">
        <v>6</v>
      </c>
      <c r="C26">
        <v>16</v>
      </c>
      <c r="D26">
        <v>14</v>
      </c>
      <c r="E26">
        <v>109.75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f t="shared" si="0"/>
        <v>0</v>
      </c>
      <c r="M26">
        <f t="shared" si="1"/>
        <v>0.74390388558453202</v>
      </c>
    </row>
    <row r="27" spans="1:13">
      <c r="A27">
        <v>2017</v>
      </c>
      <c r="B27">
        <v>6</v>
      </c>
      <c r="C27">
        <v>16</v>
      </c>
      <c r="D27">
        <v>15</v>
      </c>
      <c r="E27">
        <v>125</v>
      </c>
      <c r="F27">
        <v>0</v>
      </c>
      <c r="G27">
        <v>0.5</v>
      </c>
      <c r="H27">
        <v>0</v>
      </c>
      <c r="I27">
        <v>0.5</v>
      </c>
      <c r="J27">
        <v>0</v>
      </c>
      <c r="K27">
        <v>0</v>
      </c>
      <c r="L27" s="1">
        <f t="shared" si="0"/>
        <v>0.216221661140578</v>
      </c>
      <c r="M27">
        <f t="shared" si="1"/>
        <v>0.84727094030129002</v>
      </c>
    </row>
    <row r="28" spans="1:13">
      <c r="A28">
        <v>2017</v>
      </c>
      <c r="B28">
        <v>6</v>
      </c>
      <c r="C28">
        <v>16</v>
      </c>
      <c r="D28">
        <v>16</v>
      </c>
      <c r="E28">
        <v>127.08</v>
      </c>
      <c r="F28">
        <v>1.17</v>
      </c>
      <c r="G28">
        <v>0</v>
      </c>
      <c r="H28">
        <v>0</v>
      </c>
      <c r="I28">
        <v>0</v>
      </c>
      <c r="J28">
        <v>0</v>
      </c>
      <c r="K28">
        <v>0</v>
      </c>
      <c r="L28" s="1">
        <f t="shared" si="0"/>
        <v>0.266837815396607</v>
      </c>
      <c r="M28">
        <f t="shared" si="1"/>
        <v>0.86136952874790296</v>
      </c>
    </row>
    <row r="29" spans="1:13">
      <c r="A29">
        <v>2017</v>
      </c>
      <c r="B29">
        <v>6</v>
      </c>
      <c r="C29">
        <v>16</v>
      </c>
      <c r="D29">
        <v>17</v>
      </c>
      <c r="E29">
        <v>181</v>
      </c>
      <c r="F29">
        <v>2.33</v>
      </c>
      <c r="G29">
        <v>0</v>
      </c>
      <c r="H29">
        <v>0</v>
      </c>
      <c r="I29">
        <v>0</v>
      </c>
      <c r="J29">
        <v>0</v>
      </c>
      <c r="K29">
        <v>0</v>
      </c>
      <c r="L29" s="1">
        <f t="shared" si="0"/>
        <v>0.53139496570435396</v>
      </c>
      <c r="M29">
        <f t="shared" si="1"/>
        <v>1.22684832155627</v>
      </c>
    </row>
    <row r="30" spans="1:13">
      <c r="A30">
        <v>2017</v>
      </c>
      <c r="B30">
        <v>6</v>
      </c>
      <c r="C30">
        <v>16</v>
      </c>
      <c r="D30">
        <v>18</v>
      </c>
      <c r="E30">
        <v>199.65</v>
      </c>
      <c r="F30">
        <v>3</v>
      </c>
      <c r="G30">
        <v>0</v>
      </c>
      <c r="H30">
        <v>0</v>
      </c>
      <c r="I30">
        <v>0</v>
      </c>
      <c r="J30">
        <v>0</v>
      </c>
      <c r="K30">
        <v>3</v>
      </c>
      <c r="L30" s="1">
        <f t="shared" si="0"/>
        <v>1.09291737978638</v>
      </c>
      <c r="M30">
        <f t="shared" si="1"/>
        <v>1.3532611458492201</v>
      </c>
    </row>
    <row r="31" spans="1:13">
      <c r="A31">
        <v>2017</v>
      </c>
      <c r="B31">
        <v>6</v>
      </c>
      <c r="C31">
        <v>16</v>
      </c>
      <c r="D31">
        <v>19</v>
      </c>
      <c r="E31">
        <v>198.93</v>
      </c>
      <c r="F31">
        <v>8.5</v>
      </c>
      <c r="G31">
        <v>1.5</v>
      </c>
      <c r="H31">
        <v>0.5</v>
      </c>
      <c r="I31">
        <v>2</v>
      </c>
      <c r="J31">
        <v>0</v>
      </c>
      <c r="K31">
        <v>3.5</v>
      </c>
      <c r="L31" s="1">
        <f t="shared" si="0"/>
        <v>3.20714079948486</v>
      </c>
      <c r="M31">
        <f t="shared" si="1"/>
        <v>1.34838086523308</v>
      </c>
    </row>
    <row r="32" spans="1:13">
      <c r="A32">
        <v>2017</v>
      </c>
      <c r="B32">
        <v>6</v>
      </c>
      <c r="C32">
        <v>16</v>
      </c>
      <c r="D32">
        <v>20</v>
      </c>
      <c r="E32">
        <v>198.48</v>
      </c>
      <c r="F32">
        <v>5</v>
      </c>
      <c r="G32">
        <v>3</v>
      </c>
      <c r="H32">
        <v>4</v>
      </c>
      <c r="I32">
        <v>11.5</v>
      </c>
      <c r="J32">
        <v>7</v>
      </c>
      <c r="K32">
        <v>7</v>
      </c>
      <c r="L32" s="1">
        <f t="shared" si="0"/>
        <v>5.4642272794883304</v>
      </c>
      <c r="M32">
        <f t="shared" si="1"/>
        <v>1.345330689848</v>
      </c>
    </row>
    <row r="33" spans="1:13">
      <c r="A33">
        <v>2017</v>
      </c>
      <c r="B33">
        <v>6</v>
      </c>
      <c r="C33">
        <v>16</v>
      </c>
      <c r="D33">
        <v>21</v>
      </c>
      <c r="E33">
        <v>190.32</v>
      </c>
      <c r="F33">
        <v>3</v>
      </c>
      <c r="G33">
        <v>3.5</v>
      </c>
      <c r="H33">
        <v>4</v>
      </c>
      <c r="I33">
        <v>3</v>
      </c>
      <c r="J33">
        <v>12</v>
      </c>
      <c r="K33">
        <v>4</v>
      </c>
      <c r="L33" s="1">
        <f t="shared" si="0"/>
        <v>3.8764019980531601</v>
      </c>
      <c r="M33">
        <f t="shared" si="1"/>
        <v>1.2900208428651301</v>
      </c>
    </row>
    <row r="34" spans="1:13">
      <c r="A34">
        <v>2017</v>
      </c>
      <c r="B34">
        <v>6</v>
      </c>
      <c r="C34">
        <v>16</v>
      </c>
      <c r="D34">
        <v>22</v>
      </c>
      <c r="E34">
        <v>205.63</v>
      </c>
      <c r="F34">
        <v>0</v>
      </c>
      <c r="G34">
        <v>0</v>
      </c>
      <c r="H34">
        <v>4.5</v>
      </c>
      <c r="I34">
        <v>0.5</v>
      </c>
      <c r="J34">
        <v>1.5</v>
      </c>
      <c r="K34">
        <v>2</v>
      </c>
      <c r="L34" s="1">
        <f t="shared" si="0"/>
        <v>1.1078425281058599</v>
      </c>
      <c r="M34">
        <f t="shared" si="1"/>
        <v>1.3937945876332301</v>
      </c>
    </row>
    <row r="35" spans="1:13">
      <c r="A35">
        <v>2017</v>
      </c>
      <c r="B35">
        <v>6</v>
      </c>
      <c r="C35">
        <v>16</v>
      </c>
      <c r="D35">
        <v>23</v>
      </c>
      <c r="E35">
        <v>245.44</v>
      </c>
      <c r="F35">
        <v>0.5</v>
      </c>
      <c r="G35">
        <v>0</v>
      </c>
      <c r="H35">
        <v>0</v>
      </c>
      <c r="I35">
        <v>0</v>
      </c>
      <c r="J35">
        <v>0.56000000000000005</v>
      </c>
      <c r="K35">
        <v>0.6</v>
      </c>
      <c r="L35" s="1">
        <f t="shared" si="0"/>
        <v>0.22281644157502001</v>
      </c>
      <c r="M35">
        <f t="shared" si="1"/>
        <v>1.66363343670039</v>
      </c>
    </row>
    <row r="36" spans="1:13">
      <c r="A36">
        <v>2017</v>
      </c>
      <c r="B36">
        <v>6</v>
      </c>
      <c r="C36">
        <v>17</v>
      </c>
      <c r="D36">
        <v>0</v>
      </c>
      <c r="E36">
        <v>261.33999999999997</v>
      </c>
      <c r="F36">
        <v>0</v>
      </c>
      <c r="G36">
        <v>0.5</v>
      </c>
      <c r="H36">
        <v>0.5</v>
      </c>
      <c r="I36">
        <v>0.5</v>
      </c>
      <c r="J36">
        <v>0.44</v>
      </c>
      <c r="K36">
        <v>0.4</v>
      </c>
      <c r="L36" s="1">
        <f t="shared" si="0"/>
        <v>0.36944571535085502</v>
      </c>
      <c r="M36">
        <f t="shared" si="1"/>
        <v>1.77140630030671</v>
      </c>
    </row>
    <row r="37" spans="1:13">
      <c r="A37">
        <v>2017</v>
      </c>
      <c r="B37">
        <v>6</v>
      </c>
      <c r="C37">
        <v>17</v>
      </c>
      <c r="D37">
        <v>1</v>
      </c>
      <c r="E37">
        <v>247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 s="1">
        <f t="shared" ref="L37:L69" si="2">F37*$F$2+G37*$G$2+H37*$H$2+I37*$I$2+J37*$J$2+K37*$K$2</f>
        <v>0.15496585498110599</v>
      </c>
      <c r="M37">
        <f t="shared" ref="M37:M68" si="3">E37*3600/(1000*$L$1)</f>
        <v>1.6742073780353499</v>
      </c>
    </row>
    <row r="38" spans="1:13">
      <c r="A38">
        <v>2017</v>
      </c>
      <c r="B38">
        <v>6</v>
      </c>
      <c r="C38">
        <v>17</v>
      </c>
      <c r="D38">
        <v>2</v>
      </c>
      <c r="E38">
        <v>225.31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1">
        <f t="shared" si="2"/>
        <v>0</v>
      </c>
      <c r="M38">
        <f t="shared" si="3"/>
        <v>1.52718892447427</v>
      </c>
    </row>
    <row r="39" spans="1:13">
      <c r="A39">
        <v>2017</v>
      </c>
      <c r="B39">
        <v>6</v>
      </c>
      <c r="C39">
        <v>17</v>
      </c>
      <c r="D39">
        <v>3</v>
      </c>
      <c r="E39">
        <v>200.12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1">
        <f t="shared" si="2"/>
        <v>0</v>
      </c>
      <c r="M39">
        <f t="shared" si="3"/>
        <v>1.3564468845847499</v>
      </c>
    </row>
    <row r="40" spans="1:13">
      <c r="A40">
        <v>2017</v>
      </c>
      <c r="B40">
        <v>6</v>
      </c>
      <c r="C40">
        <v>17</v>
      </c>
      <c r="D40">
        <v>4</v>
      </c>
      <c r="E40">
        <v>174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1">
        <f t="shared" si="2"/>
        <v>0</v>
      </c>
      <c r="M40">
        <f t="shared" si="3"/>
        <v>1.1794011488993901</v>
      </c>
    </row>
    <row r="41" spans="1:13">
      <c r="A41">
        <v>2017</v>
      </c>
      <c r="B41">
        <v>6</v>
      </c>
      <c r="C41">
        <v>17</v>
      </c>
      <c r="D41">
        <v>5</v>
      </c>
      <c r="E41">
        <v>157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1">
        <f t="shared" si="2"/>
        <v>0</v>
      </c>
      <c r="M41">
        <f t="shared" si="3"/>
        <v>1.0641723010184201</v>
      </c>
    </row>
    <row r="42" spans="1:13">
      <c r="A42">
        <v>2017</v>
      </c>
      <c r="B42">
        <v>6</v>
      </c>
      <c r="C42">
        <v>17</v>
      </c>
      <c r="D42">
        <v>6</v>
      </c>
      <c r="E42">
        <v>146.26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1">
        <f t="shared" si="2"/>
        <v>0</v>
      </c>
      <c r="M42">
        <f t="shared" si="3"/>
        <v>0.99137478182773298</v>
      </c>
    </row>
    <row r="43" spans="1:13">
      <c r="A43">
        <v>2017</v>
      </c>
      <c r="B43">
        <v>6</v>
      </c>
      <c r="C43">
        <v>17</v>
      </c>
      <c r="D43">
        <v>7</v>
      </c>
      <c r="E43">
        <v>152.59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1">
        <f t="shared" si="2"/>
        <v>0</v>
      </c>
      <c r="M43">
        <f t="shared" si="3"/>
        <v>1.03428058224459</v>
      </c>
    </row>
    <row r="44" spans="1:13">
      <c r="A44">
        <v>2017</v>
      </c>
      <c r="B44">
        <v>6</v>
      </c>
      <c r="C44">
        <v>17</v>
      </c>
      <c r="D44">
        <v>8</v>
      </c>
      <c r="E44">
        <v>155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1">
        <f t="shared" si="2"/>
        <v>0</v>
      </c>
      <c r="M44">
        <f t="shared" si="3"/>
        <v>1.0506159659736001</v>
      </c>
    </row>
    <row r="45" spans="1:13">
      <c r="A45">
        <v>2017</v>
      </c>
      <c r="B45">
        <v>6</v>
      </c>
      <c r="C45">
        <v>17</v>
      </c>
      <c r="D45">
        <v>9</v>
      </c>
      <c r="E45">
        <v>146.85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1">
        <f t="shared" si="2"/>
        <v>0</v>
      </c>
      <c r="M45">
        <f t="shared" si="3"/>
        <v>0.99537390066595499</v>
      </c>
    </row>
    <row r="46" spans="1:13">
      <c r="A46">
        <v>2017</v>
      </c>
      <c r="B46">
        <v>6</v>
      </c>
      <c r="C46">
        <v>17</v>
      </c>
      <c r="D46">
        <v>10</v>
      </c>
      <c r="E46">
        <v>137.69999999999999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1">
        <f t="shared" si="2"/>
        <v>0</v>
      </c>
      <c r="M46">
        <f t="shared" si="3"/>
        <v>0.93335366783590001</v>
      </c>
    </row>
    <row r="47" spans="1:13">
      <c r="A47">
        <v>2017</v>
      </c>
      <c r="B47">
        <v>6</v>
      </c>
      <c r="C47">
        <v>17</v>
      </c>
      <c r="D47">
        <v>11</v>
      </c>
      <c r="E47">
        <v>139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1">
        <f t="shared" si="2"/>
        <v>0</v>
      </c>
      <c r="M47">
        <f t="shared" si="3"/>
        <v>0.94216528561503399</v>
      </c>
    </row>
    <row r="48" spans="1:13">
      <c r="A48">
        <v>2017</v>
      </c>
      <c r="B48">
        <v>6</v>
      </c>
      <c r="C48">
        <v>17</v>
      </c>
      <c r="D48">
        <v>12</v>
      </c>
      <c r="E48">
        <v>147.21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1">
        <f t="shared" si="2"/>
        <v>0</v>
      </c>
      <c r="M48">
        <f t="shared" si="3"/>
        <v>0.99781404097402304</v>
      </c>
    </row>
    <row r="49" spans="1:13">
      <c r="A49">
        <v>2017</v>
      </c>
      <c r="B49">
        <v>6</v>
      </c>
      <c r="C49">
        <v>17</v>
      </c>
      <c r="D49">
        <v>13</v>
      </c>
      <c r="E49">
        <v>140.33000000000001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1">
        <f t="shared" si="2"/>
        <v>0</v>
      </c>
      <c r="M49">
        <f t="shared" si="3"/>
        <v>0.95118024841983995</v>
      </c>
    </row>
    <row r="50" spans="1:13">
      <c r="A50">
        <v>2017</v>
      </c>
      <c r="B50">
        <v>6</v>
      </c>
      <c r="C50">
        <v>17</v>
      </c>
      <c r="D50">
        <v>14</v>
      </c>
      <c r="E50">
        <v>129.25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1">
        <f t="shared" si="2"/>
        <v>0</v>
      </c>
      <c r="M50">
        <f t="shared" si="3"/>
        <v>0.87607815227153296</v>
      </c>
    </row>
    <row r="51" spans="1:13">
      <c r="A51">
        <v>2017</v>
      </c>
      <c r="B51">
        <v>6</v>
      </c>
      <c r="C51">
        <v>17</v>
      </c>
      <c r="D51">
        <v>15</v>
      </c>
      <c r="E51">
        <v>120.51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1">
        <f t="shared" si="2"/>
        <v>0</v>
      </c>
      <c r="M51">
        <f t="shared" si="3"/>
        <v>0.81683696812566697</v>
      </c>
    </row>
    <row r="52" spans="1:13">
      <c r="A52">
        <v>2017</v>
      </c>
      <c r="B52">
        <v>6</v>
      </c>
      <c r="C52">
        <v>17</v>
      </c>
      <c r="D52">
        <v>16</v>
      </c>
      <c r="E52">
        <v>113.2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1">
        <f t="shared" si="2"/>
        <v>0</v>
      </c>
      <c r="M52">
        <f t="shared" si="3"/>
        <v>0.76728856353684805</v>
      </c>
    </row>
    <row r="53" spans="1:13">
      <c r="A53">
        <v>2017</v>
      </c>
      <c r="B53">
        <v>6</v>
      </c>
      <c r="C53">
        <v>17</v>
      </c>
      <c r="D53">
        <v>17</v>
      </c>
      <c r="E53">
        <v>106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1">
        <f t="shared" si="2"/>
        <v>0</v>
      </c>
      <c r="M53">
        <f t="shared" si="3"/>
        <v>0.71848575737549403</v>
      </c>
    </row>
    <row r="54" spans="1:13">
      <c r="A54">
        <v>2017</v>
      </c>
      <c r="B54">
        <v>6</v>
      </c>
      <c r="C54">
        <v>17</v>
      </c>
      <c r="D54">
        <v>18</v>
      </c>
      <c r="E54">
        <v>98.58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1">
        <f t="shared" si="2"/>
        <v>0</v>
      </c>
      <c r="M54">
        <f t="shared" si="3"/>
        <v>0.66819175435920897</v>
      </c>
    </row>
    <row r="55" spans="1:13">
      <c r="A55">
        <v>2017</v>
      </c>
      <c r="B55">
        <v>6</v>
      </c>
      <c r="C55">
        <v>17</v>
      </c>
      <c r="D55">
        <v>19</v>
      </c>
      <c r="E55">
        <v>94.44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1">
        <f t="shared" si="2"/>
        <v>0</v>
      </c>
      <c r="M55">
        <f t="shared" si="3"/>
        <v>0.64013014081643005</v>
      </c>
    </row>
    <row r="56" spans="1:13">
      <c r="A56">
        <v>2017</v>
      </c>
      <c r="B56">
        <v>6</v>
      </c>
      <c r="C56">
        <v>17</v>
      </c>
      <c r="D56">
        <v>20</v>
      </c>
      <c r="E56">
        <v>95.1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1">
        <f t="shared" si="2"/>
        <v>0</v>
      </c>
      <c r="M56">
        <f t="shared" si="3"/>
        <v>0.64460373138122096</v>
      </c>
    </row>
    <row r="57" spans="1:13">
      <c r="A57">
        <v>2017</v>
      </c>
      <c r="B57">
        <v>6</v>
      </c>
      <c r="C57">
        <v>17</v>
      </c>
      <c r="D57">
        <v>21</v>
      </c>
      <c r="E57">
        <v>90.57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1">
        <f t="shared" si="2"/>
        <v>0</v>
      </c>
      <c r="M57">
        <f t="shared" si="3"/>
        <v>0.613898632504702</v>
      </c>
    </row>
    <row r="58" spans="1:13">
      <c r="A58">
        <v>2017</v>
      </c>
      <c r="B58">
        <v>6</v>
      </c>
      <c r="C58">
        <v>17</v>
      </c>
      <c r="D58">
        <v>22</v>
      </c>
      <c r="E58">
        <v>89.88</v>
      </c>
      <c r="F58">
        <v>0</v>
      </c>
      <c r="G58">
        <v>0</v>
      </c>
      <c r="H58">
        <v>0</v>
      </c>
      <c r="I58">
        <v>0.5</v>
      </c>
      <c r="J58">
        <v>0</v>
      </c>
      <c r="K58">
        <v>0</v>
      </c>
      <c r="L58" s="1">
        <f t="shared" si="2"/>
        <v>6.5590067725190507E-2</v>
      </c>
      <c r="M58">
        <f t="shared" si="3"/>
        <v>0.609221696914239</v>
      </c>
    </row>
    <row r="59" spans="1:13">
      <c r="A59">
        <v>2017</v>
      </c>
      <c r="B59">
        <v>6</v>
      </c>
      <c r="C59">
        <v>17</v>
      </c>
      <c r="D59">
        <v>23</v>
      </c>
      <c r="E59">
        <v>86.21</v>
      </c>
      <c r="F59">
        <v>0</v>
      </c>
      <c r="G59">
        <v>0.5</v>
      </c>
      <c r="H59">
        <v>0</v>
      </c>
      <c r="I59">
        <v>0.5</v>
      </c>
      <c r="J59">
        <v>0.5</v>
      </c>
      <c r="K59">
        <v>0</v>
      </c>
      <c r="L59" s="1">
        <f t="shared" si="2"/>
        <v>0.24036417587838499</v>
      </c>
      <c r="M59">
        <f t="shared" si="3"/>
        <v>0.58434582210699304</v>
      </c>
    </row>
    <row r="60" spans="1:13">
      <c r="A60">
        <v>2017</v>
      </c>
      <c r="B60">
        <v>6</v>
      </c>
      <c r="C60">
        <v>18</v>
      </c>
      <c r="D60">
        <v>0</v>
      </c>
      <c r="E60">
        <v>85.4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1">
        <f t="shared" si="2"/>
        <v>0</v>
      </c>
      <c r="M60">
        <f t="shared" si="3"/>
        <v>0.57885550641384098</v>
      </c>
    </row>
    <row r="61" spans="1:13">
      <c r="A61">
        <v>2017</v>
      </c>
      <c r="B61">
        <v>6</v>
      </c>
      <c r="C61">
        <v>18</v>
      </c>
      <c r="D61">
        <v>1</v>
      </c>
      <c r="E61">
        <v>79.05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1">
        <f t="shared" si="2"/>
        <v>0</v>
      </c>
      <c r="M61">
        <f t="shared" si="3"/>
        <v>0.53581414264653504</v>
      </c>
    </row>
    <row r="62" spans="1:13">
      <c r="A62">
        <v>2017</v>
      </c>
      <c r="B62">
        <v>6</v>
      </c>
      <c r="C62">
        <v>18</v>
      </c>
      <c r="D62">
        <v>2</v>
      </c>
      <c r="E62">
        <v>90.92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1">
        <f t="shared" si="2"/>
        <v>0</v>
      </c>
      <c r="M62">
        <f t="shared" si="3"/>
        <v>0.61627099113754602</v>
      </c>
    </row>
    <row r="63" spans="1:13">
      <c r="A63">
        <v>2017</v>
      </c>
      <c r="B63">
        <v>6</v>
      </c>
      <c r="C63">
        <v>18</v>
      </c>
      <c r="D63">
        <v>3</v>
      </c>
      <c r="E63">
        <v>57.92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1">
        <f t="shared" si="2"/>
        <v>0</v>
      </c>
      <c r="M63">
        <f t="shared" si="3"/>
        <v>0.39259146289800601</v>
      </c>
    </row>
    <row r="64" spans="1:13">
      <c r="A64">
        <v>2017</v>
      </c>
      <c r="B64">
        <v>6</v>
      </c>
      <c r="C64">
        <v>18</v>
      </c>
      <c r="D64">
        <v>4</v>
      </c>
      <c r="E64">
        <v>75.040000000000006</v>
      </c>
      <c r="F64">
        <v>0</v>
      </c>
      <c r="G64">
        <v>0</v>
      </c>
      <c r="H64">
        <v>0</v>
      </c>
      <c r="I64">
        <v>0</v>
      </c>
      <c r="J64">
        <v>0.4</v>
      </c>
      <c r="K64">
        <v>0</v>
      </c>
      <c r="L64" s="1">
        <f t="shared" si="2"/>
        <v>1.9314011790245798E-2</v>
      </c>
      <c r="M64">
        <f t="shared" si="3"/>
        <v>0.50863369088166999</v>
      </c>
    </row>
    <row r="65" spans="1:13">
      <c r="A65">
        <v>2017</v>
      </c>
      <c r="B65">
        <v>6</v>
      </c>
      <c r="C65">
        <v>18</v>
      </c>
      <c r="D65">
        <v>5</v>
      </c>
      <c r="E65">
        <v>74.75</v>
      </c>
      <c r="F65">
        <v>0.5</v>
      </c>
      <c r="G65">
        <v>2</v>
      </c>
      <c r="H65">
        <v>0</v>
      </c>
      <c r="I65">
        <v>0.47</v>
      </c>
      <c r="J65">
        <v>0.81</v>
      </c>
      <c r="K65">
        <v>0</v>
      </c>
      <c r="L65" s="1">
        <f t="shared" si="2"/>
        <v>0.81732516564146895</v>
      </c>
      <c r="M65">
        <f t="shared" si="3"/>
        <v>0.50666802230017105</v>
      </c>
    </row>
    <row r="66" spans="1:13">
      <c r="A66">
        <v>2017</v>
      </c>
      <c r="B66">
        <v>6</v>
      </c>
      <c r="C66">
        <v>18</v>
      </c>
      <c r="D66">
        <v>6</v>
      </c>
      <c r="E66">
        <v>72.88</v>
      </c>
      <c r="F66">
        <v>1</v>
      </c>
      <c r="G66">
        <v>0</v>
      </c>
      <c r="H66">
        <v>3</v>
      </c>
      <c r="I66">
        <v>0.93</v>
      </c>
      <c r="J66">
        <v>1.21</v>
      </c>
      <c r="K66">
        <v>0.45</v>
      </c>
      <c r="L66" s="1">
        <f t="shared" si="2"/>
        <v>0.934694163432916</v>
      </c>
      <c r="M66">
        <f t="shared" si="3"/>
        <v>0.49399284903326401</v>
      </c>
    </row>
    <row r="67" spans="1:13">
      <c r="A67">
        <v>2017</v>
      </c>
      <c r="B67">
        <v>6</v>
      </c>
      <c r="C67">
        <v>18</v>
      </c>
      <c r="D67">
        <v>7</v>
      </c>
      <c r="E67">
        <v>74.33</v>
      </c>
      <c r="F67">
        <v>1.5</v>
      </c>
      <c r="G67">
        <v>0.5</v>
      </c>
      <c r="H67">
        <v>1.69</v>
      </c>
      <c r="I67">
        <v>1.4</v>
      </c>
      <c r="J67">
        <v>1.62</v>
      </c>
      <c r="K67">
        <v>0.9</v>
      </c>
      <c r="L67" s="1">
        <f t="shared" si="2"/>
        <v>1.1391129449819899</v>
      </c>
      <c r="M67">
        <f t="shared" si="3"/>
        <v>0.50382119194075903</v>
      </c>
    </row>
    <row r="68" spans="1:13">
      <c r="A68">
        <v>2017</v>
      </c>
      <c r="B68">
        <v>6</v>
      </c>
      <c r="C68">
        <v>18</v>
      </c>
      <c r="D68">
        <v>8</v>
      </c>
      <c r="E68">
        <v>72.099999999999994</v>
      </c>
      <c r="F68">
        <v>0</v>
      </c>
      <c r="G68">
        <v>1</v>
      </c>
      <c r="H68">
        <v>1.81</v>
      </c>
      <c r="I68">
        <v>1.87</v>
      </c>
      <c r="J68">
        <v>2.02</v>
      </c>
      <c r="K68">
        <v>1.35</v>
      </c>
      <c r="L68" s="1">
        <f t="shared" si="2"/>
        <v>1.10851703108731</v>
      </c>
      <c r="M68">
        <f t="shared" si="3"/>
        <v>0.488705878365784</v>
      </c>
    </row>
    <row r="69" spans="1:13">
      <c r="A69">
        <v>2017</v>
      </c>
      <c r="B69">
        <v>6</v>
      </c>
      <c r="C69">
        <v>18</v>
      </c>
      <c r="D69">
        <v>9</v>
      </c>
      <c r="E69">
        <v>56.27</v>
      </c>
      <c r="F69">
        <v>1.17</v>
      </c>
      <c r="G69">
        <v>4</v>
      </c>
      <c r="H69">
        <v>5</v>
      </c>
      <c r="I69">
        <v>2.33</v>
      </c>
      <c r="J69">
        <v>2.4300000000000002</v>
      </c>
      <c r="K69">
        <v>1.8</v>
      </c>
      <c r="L69" s="1">
        <f t="shared" si="2"/>
        <v>2.91493288672741</v>
      </c>
      <c r="M69">
        <f>E69*3600/(1000*$L$1)</f>
        <v>0.38140748648602901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C000"/>
  </sheetPr>
  <dimension ref="A1:M55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2017</v>
      </c>
      <c r="B4">
        <v>9</v>
      </c>
      <c r="C4">
        <v>4</v>
      </c>
      <c r="D4">
        <v>11</v>
      </c>
      <c r="E4">
        <v>2.4</v>
      </c>
      <c r="F4">
        <v>0</v>
      </c>
      <c r="G4">
        <v>0.33</v>
      </c>
      <c r="H4">
        <v>0.79</v>
      </c>
      <c r="I4">
        <v>0.2</v>
      </c>
      <c r="J4">
        <v>0.79</v>
      </c>
      <c r="K4">
        <v>1</v>
      </c>
      <c r="L4" s="1">
        <f>F4*$F$2+G4*$G$2+H4*$H$2+I4*$I$2+J4*$J$2+K4*$K$2</f>
        <v>0.42246036184117702</v>
      </c>
      <c r="M4">
        <f>E4*3600/(1000*$L$1)</f>
        <v>1.6267602053784799E-2</v>
      </c>
    </row>
    <row r="5" spans="1:13">
      <c r="A5">
        <v>2017</v>
      </c>
      <c r="B5">
        <v>9</v>
      </c>
      <c r="C5">
        <v>4</v>
      </c>
      <c r="D5">
        <v>12</v>
      </c>
      <c r="E5">
        <v>2.08</v>
      </c>
      <c r="F5">
        <v>0.4</v>
      </c>
      <c r="G5">
        <v>0.67</v>
      </c>
      <c r="H5">
        <v>0.88</v>
      </c>
      <c r="I5">
        <v>0.4</v>
      </c>
      <c r="J5">
        <v>1.05</v>
      </c>
      <c r="K5">
        <v>1.5</v>
      </c>
      <c r="L5" s="1">
        <f t="shared" ref="L5:L36" si="0">F5*$F$2+G5*$G$2+H5*$H$2+I5*$I$2+J5*$J$2+K5*$K$2</f>
        <v>0.73697315280813902</v>
      </c>
      <c r="M5">
        <f t="shared" ref="M5:M36" si="1">E5*3600/(1000*$L$1)</f>
        <v>1.40985884466135E-2</v>
      </c>
    </row>
    <row r="6" spans="1:13">
      <c r="A6">
        <v>2017</v>
      </c>
      <c r="B6">
        <v>9</v>
      </c>
      <c r="C6">
        <v>4</v>
      </c>
      <c r="D6">
        <v>13</v>
      </c>
      <c r="E6">
        <v>4.87</v>
      </c>
      <c r="F6">
        <v>0.8</v>
      </c>
      <c r="G6">
        <v>1</v>
      </c>
      <c r="H6">
        <v>0.96</v>
      </c>
      <c r="I6">
        <v>0.6</v>
      </c>
      <c r="J6">
        <v>1.31</v>
      </c>
      <c r="K6">
        <v>3</v>
      </c>
      <c r="L6" s="1">
        <f t="shared" si="0"/>
        <v>1.1831629377331201</v>
      </c>
      <c r="M6">
        <f t="shared" si="1"/>
        <v>3.3009675834138198E-2</v>
      </c>
    </row>
    <row r="7" spans="1:13">
      <c r="A7">
        <v>2017</v>
      </c>
      <c r="B7">
        <v>9</v>
      </c>
      <c r="C7">
        <v>4</v>
      </c>
      <c r="D7">
        <v>14</v>
      </c>
      <c r="E7">
        <v>9.23</v>
      </c>
      <c r="F7">
        <v>1.2</v>
      </c>
      <c r="G7">
        <v>0</v>
      </c>
      <c r="H7">
        <v>1.05</v>
      </c>
      <c r="I7">
        <v>0.8</v>
      </c>
      <c r="J7">
        <v>1.57</v>
      </c>
      <c r="K7">
        <v>1.5</v>
      </c>
      <c r="L7" s="1">
        <f t="shared" si="0"/>
        <v>0.82150448959457201</v>
      </c>
      <c r="M7">
        <f t="shared" si="1"/>
        <v>6.2562486231847195E-2</v>
      </c>
    </row>
    <row r="8" spans="1:13">
      <c r="A8">
        <v>2017</v>
      </c>
      <c r="B8">
        <v>9</v>
      </c>
      <c r="C8">
        <v>4</v>
      </c>
      <c r="D8">
        <v>15</v>
      </c>
      <c r="E8">
        <v>13.3</v>
      </c>
      <c r="F8">
        <v>1.6</v>
      </c>
      <c r="G8">
        <v>0.5</v>
      </c>
      <c r="H8">
        <v>4.5</v>
      </c>
      <c r="I8">
        <v>1</v>
      </c>
      <c r="J8">
        <v>3.5</v>
      </c>
      <c r="K8">
        <v>5.5</v>
      </c>
      <c r="L8" s="1">
        <f t="shared" si="0"/>
        <v>2.2623781577317299</v>
      </c>
      <c r="M8">
        <f t="shared" si="1"/>
        <v>9.0149628048057207E-2</v>
      </c>
    </row>
    <row r="9" spans="1:13">
      <c r="A9">
        <v>2017</v>
      </c>
      <c r="B9">
        <v>9</v>
      </c>
      <c r="C9">
        <v>4</v>
      </c>
      <c r="D9">
        <v>16</v>
      </c>
      <c r="E9">
        <v>16.100000000000001</v>
      </c>
      <c r="F9">
        <v>3</v>
      </c>
      <c r="G9">
        <v>3</v>
      </c>
      <c r="H9">
        <v>6</v>
      </c>
      <c r="I9">
        <v>3.5</v>
      </c>
      <c r="J9">
        <v>1</v>
      </c>
      <c r="K9">
        <v>5</v>
      </c>
      <c r="L9" s="1">
        <f t="shared" si="0"/>
        <v>3.7063961424695502</v>
      </c>
      <c r="M9">
        <f t="shared" si="1"/>
        <v>0.10912849711080599</v>
      </c>
    </row>
    <row r="10" spans="1:13">
      <c r="A10">
        <v>2017</v>
      </c>
      <c r="B10">
        <v>9</v>
      </c>
      <c r="C10">
        <v>4</v>
      </c>
      <c r="D10">
        <v>17</v>
      </c>
      <c r="E10">
        <v>20.399999999999999</v>
      </c>
      <c r="F10">
        <v>2.5</v>
      </c>
      <c r="G10">
        <v>1.41</v>
      </c>
      <c r="H10">
        <v>5</v>
      </c>
      <c r="I10">
        <v>3</v>
      </c>
      <c r="J10">
        <v>6.5</v>
      </c>
      <c r="K10">
        <v>3</v>
      </c>
      <c r="L10" s="1">
        <f t="shared" si="0"/>
        <v>2.8858875916229398</v>
      </c>
      <c r="M10">
        <f t="shared" si="1"/>
        <v>0.13827461745717001</v>
      </c>
    </row>
    <row r="11" spans="1:13">
      <c r="A11">
        <v>2017</v>
      </c>
      <c r="B11">
        <v>9</v>
      </c>
      <c r="C11">
        <v>4</v>
      </c>
      <c r="D11">
        <v>18</v>
      </c>
      <c r="E11">
        <v>27.8</v>
      </c>
      <c r="F11">
        <v>3</v>
      </c>
      <c r="G11">
        <v>1.67</v>
      </c>
      <c r="H11">
        <v>2</v>
      </c>
      <c r="I11">
        <v>2</v>
      </c>
      <c r="J11">
        <v>1.28</v>
      </c>
      <c r="K11">
        <v>1.41</v>
      </c>
      <c r="L11" s="1">
        <f t="shared" si="0"/>
        <v>2.0135032582274701</v>
      </c>
      <c r="M11">
        <f t="shared" si="1"/>
        <v>0.18843305712300701</v>
      </c>
    </row>
    <row r="12" spans="1:13">
      <c r="A12">
        <v>2017</v>
      </c>
      <c r="B12">
        <v>9</v>
      </c>
      <c r="C12">
        <v>4</v>
      </c>
      <c r="D12">
        <v>19</v>
      </c>
      <c r="E12">
        <v>30.04</v>
      </c>
      <c r="F12">
        <v>3.5</v>
      </c>
      <c r="G12">
        <v>1.92</v>
      </c>
      <c r="H12">
        <v>4.5</v>
      </c>
      <c r="I12">
        <v>3.5</v>
      </c>
      <c r="J12">
        <v>1</v>
      </c>
      <c r="K12">
        <v>1.67</v>
      </c>
      <c r="L12" s="1">
        <f t="shared" si="0"/>
        <v>2.8089395556911199</v>
      </c>
      <c r="M12">
        <f t="shared" si="1"/>
        <v>0.20361615237320599</v>
      </c>
    </row>
    <row r="13" spans="1:13">
      <c r="A13">
        <v>2017</v>
      </c>
      <c r="B13">
        <v>9</v>
      </c>
      <c r="C13">
        <v>4</v>
      </c>
      <c r="D13">
        <v>20</v>
      </c>
      <c r="E13">
        <v>27.02</v>
      </c>
      <c r="F13">
        <v>4.5</v>
      </c>
      <c r="G13">
        <v>4.5</v>
      </c>
      <c r="H13">
        <v>5</v>
      </c>
      <c r="I13">
        <v>3.5</v>
      </c>
      <c r="J13">
        <v>0.72</v>
      </c>
      <c r="K13">
        <v>1.92</v>
      </c>
      <c r="L13" s="1">
        <f t="shared" si="0"/>
        <v>3.91228802693192</v>
      </c>
      <c r="M13">
        <f t="shared" si="1"/>
        <v>0.18314608645552699</v>
      </c>
    </row>
    <row r="14" spans="1:13">
      <c r="A14">
        <v>2017</v>
      </c>
      <c r="B14">
        <v>9</v>
      </c>
      <c r="C14">
        <v>4</v>
      </c>
      <c r="D14">
        <v>21</v>
      </c>
      <c r="E14">
        <v>21.55</v>
      </c>
      <c r="F14">
        <v>3.5</v>
      </c>
      <c r="G14">
        <v>4.5</v>
      </c>
      <c r="H14">
        <v>4.5</v>
      </c>
      <c r="I14">
        <v>4</v>
      </c>
      <c r="J14">
        <v>0.82</v>
      </c>
      <c r="K14">
        <v>2</v>
      </c>
      <c r="L14" s="1">
        <f t="shared" si="0"/>
        <v>3.6880563039782199</v>
      </c>
      <c r="M14">
        <f t="shared" si="1"/>
        <v>0.146069510107942</v>
      </c>
    </row>
    <row r="15" spans="1:13">
      <c r="A15">
        <v>2017</v>
      </c>
      <c r="B15">
        <v>9</v>
      </c>
      <c r="C15">
        <v>4</v>
      </c>
      <c r="D15">
        <v>22</v>
      </c>
      <c r="E15">
        <v>16.45</v>
      </c>
      <c r="F15">
        <v>3</v>
      </c>
      <c r="G15">
        <v>3.5</v>
      </c>
      <c r="H15">
        <v>1.5</v>
      </c>
      <c r="I15">
        <v>4</v>
      </c>
      <c r="J15">
        <v>1.02</v>
      </c>
      <c r="K15">
        <v>3</v>
      </c>
      <c r="L15" s="1">
        <f t="shared" si="0"/>
        <v>2.95375858803239</v>
      </c>
      <c r="M15">
        <f t="shared" si="1"/>
        <v>0.11150085574365</v>
      </c>
    </row>
    <row r="16" spans="1:13">
      <c r="A16">
        <v>2017</v>
      </c>
      <c r="B16">
        <v>9</v>
      </c>
      <c r="C16">
        <v>4</v>
      </c>
      <c r="D16">
        <v>23</v>
      </c>
      <c r="E16">
        <v>15.08</v>
      </c>
      <c r="F16">
        <v>7</v>
      </c>
      <c r="G16">
        <v>1.75</v>
      </c>
      <c r="H16">
        <v>5</v>
      </c>
      <c r="I16">
        <v>5</v>
      </c>
      <c r="J16">
        <v>1.22</v>
      </c>
      <c r="K16">
        <v>0.96</v>
      </c>
      <c r="L16" s="1">
        <f t="shared" si="0"/>
        <v>3.7441035402745499</v>
      </c>
      <c r="M16">
        <f t="shared" si="1"/>
        <v>0.10221476623794799</v>
      </c>
    </row>
    <row r="17" spans="1:13">
      <c r="A17">
        <v>2017</v>
      </c>
      <c r="B17">
        <v>9</v>
      </c>
      <c r="C17">
        <v>5</v>
      </c>
      <c r="D17">
        <v>0</v>
      </c>
      <c r="E17">
        <v>21</v>
      </c>
      <c r="F17">
        <v>3.5</v>
      </c>
      <c r="G17">
        <v>1.75</v>
      </c>
      <c r="H17">
        <v>1.4</v>
      </c>
      <c r="I17">
        <v>0.5</v>
      </c>
      <c r="J17">
        <v>1.43</v>
      </c>
      <c r="K17">
        <v>1.07</v>
      </c>
      <c r="L17" s="1">
        <f t="shared" si="0"/>
        <v>1.8228092491861501</v>
      </c>
      <c r="M17">
        <f t="shared" si="1"/>
        <v>0.142341517970617</v>
      </c>
    </row>
    <row r="18" spans="1:13">
      <c r="A18">
        <v>2017</v>
      </c>
      <c r="B18">
        <v>9</v>
      </c>
      <c r="C18">
        <v>5</v>
      </c>
      <c r="D18">
        <v>1</v>
      </c>
      <c r="E18">
        <v>46</v>
      </c>
      <c r="F18">
        <v>0.94</v>
      </c>
      <c r="G18">
        <v>4</v>
      </c>
      <c r="H18">
        <v>1.47</v>
      </c>
      <c r="I18">
        <v>4</v>
      </c>
      <c r="J18">
        <v>1.63</v>
      </c>
      <c r="K18">
        <v>1.18</v>
      </c>
      <c r="L18" s="1">
        <f t="shared" si="0"/>
        <v>2.4114225679087702</v>
      </c>
      <c r="M18">
        <f t="shared" si="1"/>
        <v>0.31179570603087498</v>
      </c>
    </row>
    <row r="19" spans="1:13">
      <c r="A19">
        <v>2017</v>
      </c>
      <c r="B19">
        <v>9</v>
      </c>
      <c r="C19">
        <v>5</v>
      </c>
      <c r="D19">
        <v>2</v>
      </c>
      <c r="E19">
        <v>63.6</v>
      </c>
      <c r="F19">
        <v>0.56000000000000005</v>
      </c>
      <c r="G19">
        <v>0.97</v>
      </c>
      <c r="H19">
        <v>1.53</v>
      </c>
      <c r="I19">
        <v>1.55</v>
      </c>
      <c r="J19">
        <v>1.84</v>
      </c>
      <c r="K19">
        <v>1.29</v>
      </c>
      <c r="L19" s="1">
        <f t="shared" si="0"/>
        <v>1.1249626353515301</v>
      </c>
      <c r="M19">
        <f t="shared" si="1"/>
        <v>0.43109145442529601</v>
      </c>
    </row>
    <row r="20" spans="1:13">
      <c r="A20">
        <v>2017</v>
      </c>
      <c r="B20">
        <v>9</v>
      </c>
      <c r="C20">
        <v>5</v>
      </c>
      <c r="D20">
        <v>3</v>
      </c>
      <c r="E20">
        <v>64.77</v>
      </c>
      <c r="F20">
        <v>3</v>
      </c>
      <c r="G20">
        <v>0.53</v>
      </c>
      <c r="H20">
        <v>1.6</v>
      </c>
      <c r="I20">
        <v>1.67</v>
      </c>
      <c r="J20">
        <v>2.04</v>
      </c>
      <c r="K20">
        <v>0</v>
      </c>
      <c r="L20" s="1">
        <f t="shared" si="0"/>
        <v>1.40938666998044</v>
      </c>
      <c r="M20">
        <f t="shared" si="1"/>
        <v>0.439021910426516</v>
      </c>
    </row>
    <row r="21" spans="1:13">
      <c r="A21">
        <v>2017</v>
      </c>
      <c r="B21">
        <v>9</v>
      </c>
      <c r="C21">
        <v>5</v>
      </c>
      <c r="D21">
        <v>4</v>
      </c>
      <c r="E21">
        <v>46.22</v>
      </c>
      <c r="F21">
        <v>0.86</v>
      </c>
      <c r="G21">
        <v>3</v>
      </c>
      <c r="H21">
        <v>5</v>
      </c>
      <c r="I21">
        <v>1.79</v>
      </c>
      <c r="J21">
        <v>5</v>
      </c>
      <c r="K21">
        <v>4.5</v>
      </c>
      <c r="L21" s="1">
        <f t="shared" si="0"/>
        <v>2.9640704025666702</v>
      </c>
      <c r="M21">
        <f t="shared" si="1"/>
        <v>0.31328690288580502</v>
      </c>
    </row>
    <row r="22" spans="1:13">
      <c r="A22">
        <v>2017</v>
      </c>
      <c r="B22">
        <v>9</v>
      </c>
      <c r="C22">
        <v>5</v>
      </c>
      <c r="D22">
        <v>5</v>
      </c>
      <c r="E22">
        <v>65.83</v>
      </c>
      <c r="F22">
        <v>0.98</v>
      </c>
      <c r="G22">
        <v>3</v>
      </c>
      <c r="H22">
        <v>5.5</v>
      </c>
      <c r="I22">
        <v>3</v>
      </c>
      <c r="J22">
        <v>2.31</v>
      </c>
      <c r="K22">
        <v>1.5</v>
      </c>
      <c r="L22" s="1">
        <f t="shared" si="0"/>
        <v>2.6890446926006901</v>
      </c>
      <c r="M22">
        <f t="shared" si="1"/>
        <v>0.44620676800027098</v>
      </c>
    </row>
    <row r="23" spans="1:13">
      <c r="A23">
        <v>2017</v>
      </c>
      <c r="B23">
        <v>9</v>
      </c>
      <c r="C23">
        <v>5</v>
      </c>
      <c r="D23">
        <v>6</v>
      </c>
      <c r="E23">
        <v>75.58</v>
      </c>
      <c r="F23">
        <v>1.1000000000000001</v>
      </c>
      <c r="G23">
        <v>3</v>
      </c>
      <c r="H23">
        <v>11.5</v>
      </c>
      <c r="I23">
        <v>3</v>
      </c>
      <c r="J23">
        <v>2.19</v>
      </c>
      <c r="K23">
        <v>0</v>
      </c>
      <c r="L23" s="1">
        <f t="shared" si="0"/>
        <v>3.4360546734523698</v>
      </c>
      <c r="M23">
        <f t="shared" si="1"/>
        <v>0.51229390134377195</v>
      </c>
    </row>
    <row r="24" spans="1:13">
      <c r="A24">
        <v>2017</v>
      </c>
      <c r="B24">
        <v>9</v>
      </c>
      <c r="C24">
        <v>5</v>
      </c>
      <c r="D24">
        <v>7</v>
      </c>
      <c r="E24">
        <v>86.5</v>
      </c>
      <c r="F24">
        <v>1.22</v>
      </c>
      <c r="G24">
        <v>3</v>
      </c>
      <c r="H24">
        <v>7</v>
      </c>
      <c r="I24">
        <v>5</v>
      </c>
      <c r="J24">
        <v>5</v>
      </c>
      <c r="K24">
        <v>0.5</v>
      </c>
      <c r="L24" s="1">
        <f t="shared" si="0"/>
        <v>3.2322371530190201</v>
      </c>
      <c r="M24">
        <f t="shared" si="1"/>
        <v>0.58631149068849198</v>
      </c>
    </row>
    <row r="25" spans="1:13">
      <c r="A25">
        <v>2017</v>
      </c>
      <c r="B25">
        <v>9</v>
      </c>
      <c r="C25">
        <v>5</v>
      </c>
      <c r="D25">
        <v>8</v>
      </c>
      <c r="E25">
        <v>86.5</v>
      </c>
      <c r="F25">
        <v>1.34</v>
      </c>
      <c r="G25">
        <v>7</v>
      </c>
      <c r="H25">
        <v>16</v>
      </c>
      <c r="I25">
        <v>3</v>
      </c>
      <c r="J25">
        <v>1.5</v>
      </c>
      <c r="K25">
        <v>0</v>
      </c>
      <c r="L25" s="1">
        <f t="shared" si="0"/>
        <v>5.3598730599849</v>
      </c>
      <c r="M25">
        <f t="shared" si="1"/>
        <v>0.58631149068849198</v>
      </c>
    </row>
    <row r="26" spans="1:13">
      <c r="A26">
        <v>2017</v>
      </c>
      <c r="B26">
        <v>9</v>
      </c>
      <c r="C26">
        <v>5</v>
      </c>
      <c r="D26">
        <v>9</v>
      </c>
      <c r="E26">
        <v>86.48</v>
      </c>
      <c r="F26">
        <v>2</v>
      </c>
      <c r="G26">
        <v>14</v>
      </c>
      <c r="H26">
        <v>8</v>
      </c>
      <c r="I26">
        <v>6.5</v>
      </c>
      <c r="J26">
        <v>4</v>
      </c>
      <c r="K26">
        <v>0.5</v>
      </c>
      <c r="L26" s="1">
        <f t="shared" si="0"/>
        <v>7.0274751137696603</v>
      </c>
      <c r="M26">
        <f t="shared" si="1"/>
        <v>0.58617592733804402</v>
      </c>
    </row>
    <row r="27" spans="1:13">
      <c r="A27">
        <v>2017</v>
      </c>
      <c r="B27">
        <v>9</v>
      </c>
      <c r="C27">
        <v>5</v>
      </c>
      <c r="D27">
        <v>10</v>
      </c>
      <c r="E27">
        <v>110</v>
      </c>
      <c r="F27">
        <v>0</v>
      </c>
      <c r="G27">
        <v>2.77</v>
      </c>
      <c r="H27">
        <v>12</v>
      </c>
      <c r="I27">
        <v>2.48</v>
      </c>
      <c r="J27">
        <v>6</v>
      </c>
      <c r="K27">
        <v>1</v>
      </c>
      <c r="L27" s="1">
        <f t="shared" si="0"/>
        <v>3.4453654844412802</v>
      </c>
      <c r="M27">
        <f t="shared" si="1"/>
        <v>0.74559842746513505</v>
      </c>
    </row>
    <row r="28" spans="1:13">
      <c r="A28">
        <v>2017</v>
      </c>
      <c r="B28">
        <v>9</v>
      </c>
      <c r="C28">
        <v>5</v>
      </c>
      <c r="D28">
        <v>11</v>
      </c>
      <c r="E28">
        <v>154</v>
      </c>
      <c r="F28">
        <v>5.5</v>
      </c>
      <c r="G28">
        <v>1.23</v>
      </c>
      <c r="H28">
        <v>1.5</v>
      </c>
      <c r="I28">
        <v>2.02</v>
      </c>
      <c r="J28">
        <v>1.07</v>
      </c>
      <c r="K28">
        <v>1.5</v>
      </c>
      <c r="L28" s="1">
        <f t="shared" si="0"/>
        <v>2.3783760828593299</v>
      </c>
      <c r="M28">
        <f t="shared" si="1"/>
        <v>1.04383779845119</v>
      </c>
    </row>
    <row r="29" spans="1:13">
      <c r="A29">
        <v>2017</v>
      </c>
      <c r="B29">
        <v>9</v>
      </c>
      <c r="C29">
        <v>5</v>
      </c>
      <c r="D29">
        <v>12</v>
      </c>
      <c r="E29">
        <v>150</v>
      </c>
      <c r="F29">
        <v>0</v>
      </c>
      <c r="G29">
        <v>0</v>
      </c>
      <c r="H29">
        <v>1</v>
      </c>
      <c r="I29">
        <v>0</v>
      </c>
      <c r="J29">
        <v>0.43</v>
      </c>
      <c r="K29">
        <v>2</v>
      </c>
      <c r="L29" s="1">
        <f t="shared" si="0"/>
        <v>0.44820698640789203</v>
      </c>
      <c r="M29">
        <f t="shared" si="1"/>
        <v>1.0167251283615499</v>
      </c>
    </row>
    <row r="30" spans="1:13">
      <c r="A30">
        <v>2017</v>
      </c>
      <c r="B30">
        <v>9</v>
      </c>
      <c r="C30">
        <v>5</v>
      </c>
      <c r="D30">
        <v>13</v>
      </c>
      <c r="E30">
        <v>212</v>
      </c>
      <c r="F30">
        <v>0</v>
      </c>
      <c r="G30">
        <v>0</v>
      </c>
      <c r="H30">
        <v>0.5</v>
      </c>
      <c r="I30">
        <v>0</v>
      </c>
      <c r="J30">
        <v>0</v>
      </c>
      <c r="K30">
        <v>0</v>
      </c>
      <c r="L30" s="1">
        <f t="shared" si="0"/>
        <v>7.7482927490552994E-2</v>
      </c>
      <c r="M30">
        <f t="shared" si="1"/>
        <v>1.4369715147509901</v>
      </c>
    </row>
    <row r="31" spans="1:13">
      <c r="A31">
        <v>2017</v>
      </c>
      <c r="B31">
        <v>9</v>
      </c>
      <c r="C31">
        <v>5</v>
      </c>
      <c r="D31">
        <v>14</v>
      </c>
      <c r="E31">
        <v>160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 s="1">
        <f t="shared" si="0"/>
        <v>0.91226603554395602</v>
      </c>
      <c r="M31">
        <f t="shared" si="1"/>
        <v>1.08450680358565</v>
      </c>
    </row>
    <row r="32" spans="1:13">
      <c r="A32">
        <v>2017</v>
      </c>
      <c r="B32">
        <v>9</v>
      </c>
      <c r="C32">
        <v>5</v>
      </c>
      <c r="D32">
        <v>15</v>
      </c>
      <c r="E32">
        <v>159.66999999999999</v>
      </c>
      <c r="F32">
        <v>0</v>
      </c>
      <c r="G32">
        <v>0</v>
      </c>
      <c r="H32">
        <v>0</v>
      </c>
      <c r="I32">
        <v>0.5</v>
      </c>
      <c r="J32">
        <v>0</v>
      </c>
      <c r="K32">
        <v>0</v>
      </c>
      <c r="L32" s="1">
        <f t="shared" si="0"/>
        <v>6.5590067725190507E-2</v>
      </c>
      <c r="M32">
        <f t="shared" si="1"/>
        <v>1.0822700083032599</v>
      </c>
    </row>
    <row r="33" spans="1:13">
      <c r="A33">
        <v>2017</v>
      </c>
      <c r="B33">
        <v>9</v>
      </c>
      <c r="C33">
        <v>5</v>
      </c>
      <c r="D33">
        <v>16</v>
      </c>
      <c r="E33">
        <v>159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">
        <f t="shared" si="0"/>
        <v>0</v>
      </c>
      <c r="M33">
        <f t="shared" si="1"/>
        <v>1.0777286360632401</v>
      </c>
    </row>
    <row r="34" spans="1:13">
      <c r="A34">
        <v>2017</v>
      </c>
      <c r="B34">
        <v>9</v>
      </c>
      <c r="C34">
        <v>5</v>
      </c>
      <c r="D34">
        <v>17</v>
      </c>
      <c r="E34">
        <v>93.43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1">
        <f t="shared" si="0"/>
        <v>0</v>
      </c>
      <c r="M34">
        <f t="shared" si="1"/>
        <v>0.63328419161879601</v>
      </c>
    </row>
    <row r="35" spans="1:13">
      <c r="A35">
        <v>2017</v>
      </c>
      <c r="B35">
        <v>9</v>
      </c>
      <c r="C35">
        <v>5</v>
      </c>
      <c r="D35">
        <v>18</v>
      </c>
      <c r="E35">
        <v>85.28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1">
        <f t="shared" si="0"/>
        <v>0</v>
      </c>
      <c r="M35">
        <f t="shared" si="1"/>
        <v>0.57804212631115204</v>
      </c>
    </row>
    <row r="36" spans="1:13">
      <c r="A36">
        <v>2017</v>
      </c>
      <c r="B36">
        <v>9</v>
      </c>
      <c r="C36">
        <v>5</v>
      </c>
      <c r="D36">
        <v>19</v>
      </c>
      <c r="E36">
        <v>111.42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1">
        <f t="shared" si="0"/>
        <v>0</v>
      </c>
      <c r="M36">
        <f t="shared" si="1"/>
        <v>0.75522342534695697</v>
      </c>
    </row>
    <row r="37" spans="1:13">
      <c r="A37">
        <v>2017</v>
      </c>
      <c r="B37">
        <v>9</v>
      </c>
      <c r="C37">
        <v>5</v>
      </c>
      <c r="D37">
        <v>20</v>
      </c>
      <c r="E37">
        <v>136.22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1">
        <f t="shared" ref="L37:L55" si="2">F37*$F$2+G37*$G$2+H37*$H$2+I37*$I$2+J37*$J$2+K37*$K$2</f>
        <v>0</v>
      </c>
      <c r="M37">
        <f t="shared" ref="M37:M55" si="3">E37*3600/(1000*$L$1)</f>
        <v>0.92332197990273301</v>
      </c>
    </row>
    <row r="38" spans="1:13">
      <c r="A38">
        <v>2017</v>
      </c>
      <c r="B38">
        <v>9</v>
      </c>
      <c r="C38">
        <v>5</v>
      </c>
      <c r="D38">
        <v>21</v>
      </c>
      <c r="E38">
        <v>137.77000000000001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1">
        <f t="shared" si="2"/>
        <v>0</v>
      </c>
      <c r="M38">
        <f t="shared" si="3"/>
        <v>0.93382813956246902</v>
      </c>
    </row>
    <row r="39" spans="1:13">
      <c r="A39">
        <v>2017</v>
      </c>
      <c r="B39">
        <v>9</v>
      </c>
      <c r="C39">
        <v>5</v>
      </c>
      <c r="D39">
        <v>22</v>
      </c>
      <c r="E39">
        <v>94.4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1">
        <f t="shared" si="2"/>
        <v>0</v>
      </c>
      <c r="M39">
        <f t="shared" si="3"/>
        <v>0.63985901411553403</v>
      </c>
    </row>
    <row r="40" spans="1:13">
      <c r="A40">
        <v>2017</v>
      </c>
      <c r="B40">
        <v>9</v>
      </c>
      <c r="C40">
        <v>5</v>
      </c>
      <c r="D40">
        <v>23</v>
      </c>
      <c r="E40">
        <v>91.13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1">
        <f t="shared" si="2"/>
        <v>0</v>
      </c>
      <c r="M40">
        <f t="shared" si="3"/>
        <v>0.61769440631725203</v>
      </c>
    </row>
    <row r="41" spans="1:13">
      <c r="A41">
        <v>2017</v>
      </c>
      <c r="B41">
        <v>9</v>
      </c>
      <c r="C41">
        <v>6</v>
      </c>
      <c r="D41">
        <v>0</v>
      </c>
      <c r="E41">
        <v>91.96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1">
        <f t="shared" si="2"/>
        <v>0</v>
      </c>
      <c r="M41">
        <f t="shared" si="3"/>
        <v>0.62332028536085304</v>
      </c>
    </row>
    <row r="42" spans="1:13">
      <c r="A42">
        <v>2017</v>
      </c>
      <c r="B42">
        <v>9</v>
      </c>
      <c r="C42">
        <v>6</v>
      </c>
      <c r="D42">
        <v>1</v>
      </c>
      <c r="E42">
        <v>81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1">
        <f t="shared" si="2"/>
        <v>0</v>
      </c>
      <c r="M42">
        <f t="shared" si="3"/>
        <v>0.549031569315236</v>
      </c>
    </row>
    <row r="43" spans="1:13">
      <c r="A43">
        <v>2017</v>
      </c>
      <c r="B43">
        <v>9</v>
      </c>
      <c r="C43">
        <v>6</v>
      </c>
      <c r="D43">
        <v>2</v>
      </c>
      <c r="E43">
        <v>58.69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1">
        <f t="shared" si="2"/>
        <v>0</v>
      </c>
      <c r="M43">
        <f t="shared" si="3"/>
        <v>0.39781065189026099</v>
      </c>
    </row>
    <row r="44" spans="1:13">
      <c r="A44">
        <v>2017</v>
      </c>
      <c r="B44">
        <v>9</v>
      </c>
      <c r="C44">
        <v>6</v>
      </c>
      <c r="D44">
        <v>3</v>
      </c>
      <c r="E44">
        <v>66.5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1">
        <f t="shared" si="2"/>
        <v>0</v>
      </c>
      <c r="M44">
        <f t="shared" si="3"/>
        <v>0.45074814024028598</v>
      </c>
    </row>
    <row r="45" spans="1:13">
      <c r="A45">
        <v>2017</v>
      </c>
      <c r="B45">
        <v>9</v>
      </c>
      <c r="C45">
        <v>6</v>
      </c>
      <c r="D45">
        <v>4</v>
      </c>
      <c r="E45">
        <v>77.25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1">
        <f t="shared" si="2"/>
        <v>0</v>
      </c>
      <c r="M45">
        <f t="shared" si="3"/>
        <v>0.52361344110619701</v>
      </c>
    </row>
    <row r="46" spans="1:13">
      <c r="A46">
        <v>2017</v>
      </c>
      <c r="B46">
        <v>9</v>
      </c>
      <c r="C46">
        <v>6</v>
      </c>
      <c r="D46">
        <v>5</v>
      </c>
      <c r="E46">
        <v>79.44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1">
        <f t="shared" si="2"/>
        <v>0</v>
      </c>
      <c r="M46">
        <f t="shared" si="3"/>
        <v>0.53845762798027597</v>
      </c>
    </row>
    <row r="47" spans="1:13">
      <c r="A47">
        <v>2017</v>
      </c>
      <c r="B47">
        <v>9</v>
      </c>
      <c r="C47">
        <v>6</v>
      </c>
      <c r="D47">
        <v>6</v>
      </c>
      <c r="E47">
        <v>62.08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1">
        <f t="shared" si="2"/>
        <v>0</v>
      </c>
      <c r="M47">
        <f t="shared" si="3"/>
        <v>0.42078863979123199</v>
      </c>
    </row>
    <row r="48" spans="1:13">
      <c r="A48">
        <v>2017</v>
      </c>
      <c r="B48">
        <v>9</v>
      </c>
      <c r="C48">
        <v>6</v>
      </c>
      <c r="D48">
        <v>7</v>
      </c>
      <c r="E48">
        <v>44.69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1">
        <f t="shared" si="2"/>
        <v>0</v>
      </c>
      <c r="M48">
        <f t="shared" si="3"/>
        <v>0.30291630657651702</v>
      </c>
    </row>
    <row r="49" spans="1:13">
      <c r="A49">
        <v>2017</v>
      </c>
      <c r="B49">
        <v>9</v>
      </c>
      <c r="C49">
        <v>6</v>
      </c>
      <c r="D49">
        <v>8</v>
      </c>
      <c r="E49">
        <v>55.4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1">
        <f t="shared" si="2"/>
        <v>0</v>
      </c>
      <c r="M49">
        <f t="shared" si="3"/>
        <v>0.37551048074153198</v>
      </c>
    </row>
    <row r="50" spans="1:13">
      <c r="A50">
        <v>2017</v>
      </c>
      <c r="B50">
        <v>9</v>
      </c>
      <c r="C50">
        <v>6</v>
      </c>
      <c r="D50">
        <v>9</v>
      </c>
      <c r="E50">
        <v>60.25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1">
        <f t="shared" si="2"/>
        <v>0</v>
      </c>
      <c r="M50">
        <f t="shared" si="3"/>
        <v>0.40838459322522203</v>
      </c>
    </row>
    <row r="51" spans="1:13">
      <c r="A51">
        <v>2017</v>
      </c>
      <c r="B51">
        <v>9</v>
      </c>
      <c r="C51">
        <v>6</v>
      </c>
      <c r="D51">
        <v>10</v>
      </c>
      <c r="E51">
        <v>55.4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1">
        <f t="shared" si="2"/>
        <v>0</v>
      </c>
      <c r="M51">
        <f t="shared" si="3"/>
        <v>0.37551048074153198</v>
      </c>
    </row>
    <row r="52" spans="1:13">
      <c r="A52">
        <v>2017</v>
      </c>
      <c r="B52">
        <v>9</v>
      </c>
      <c r="C52">
        <v>6</v>
      </c>
      <c r="D52">
        <v>11</v>
      </c>
      <c r="E52">
        <v>45.94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1">
        <f t="shared" si="2"/>
        <v>0</v>
      </c>
      <c r="M52">
        <f t="shared" si="3"/>
        <v>0.31138901597953</v>
      </c>
    </row>
    <row r="53" spans="1:13">
      <c r="A53">
        <v>2017</v>
      </c>
      <c r="B53">
        <v>9</v>
      </c>
      <c r="C53">
        <v>6</v>
      </c>
      <c r="D53">
        <v>12</v>
      </c>
      <c r="E53">
        <v>40.6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1">
        <f t="shared" si="2"/>
        <v>0</v>
      </c>
      <c r="M53">
        <f t="shared" si="3"/>
        <v>0.27519360140985899</v>
      </c>
    </row>
    <row r="54" spans="1:13">
      <c r="A54">
        <v>2017</v>
      </c>
      <c r="B54">
        <v>9</v>
      </c>
      <c r="C54">
        <v>6</v>
      </c>
      <c r="D54">
        <v>13</v>
      </c>
      <c r="E54">
        <v>37.9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1">
        <f t="shared" si="2"/>
        <v>0</v>
      </c>
      <c r="M54">
        <f t="shared" si="3"/>
        <v>0.256892549099351</v>
      </c>
    </row>
    <row r="55" spans="1:13">
      <c r="A55">
        <v>2017</v>
      </c>
      <c r="B55">
        <v>9</v>
      </c>
      <c r="C55">
        <v>6</v>
      </c>
      <c r="D55">
        <v>14</v>
      </c>
      <c r="E55">
        <v>18.260000000000002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1">
        <f t="shared" si="2"/>
        <v>0</v>
      </c>
      <c r="M55">
        <f t="shared" si="3"/>
        <v>0.12376933895921199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C000"/>
  </sheetPr>
  <dimension ref="A1:M25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2019</v>
      </c>
      <c r="B4">
        <v>4</v>
      </c>
      <c r="C4">
        <v>26</v>
      </c>
      <c r="D4">
        <v>19</v>
      </c>
      <c r="E4">
        <v>24.49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">
        <f>F4*$F$2+G4*$G$2+H4*$H$2+I4*$I$2+J4*$J$2+K4*$K$2</f>
        <v>0</v>
      </c>
      <c r="M4">
        <f>E4*3600/(1000*$L$1)</f>
        <v>0.16599732262382899</v>
      </c>
    </row>
    <row r="5" spans="1:13">
      <c r="A5">
        <v>2019</v>
      </c>
      <c r="B5">
        <v>4</v>
      </c>
      <c r="C5">
        <v>26</v>
      </c>
      <c r="D5">
        <v>20</v>
      </c>
      <c r="E5">
        <v>30.2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f t="shared" ref="L5:L25" si="0">F5*$F$2+G5*$G$2+H5*$H$2+I5*$I$2+J5*$J$2+K5*$K$2</f>
        <v>0</v>
      </c>
      <c r="M5">
        <f t="shared" ref="M5:M25" si="1">E5*3600/(1000*$L$1)</f>
        <v>0.204700659176792</v>
      </c>
    </row>
    <row r="6" spans="1:13">
      <c r="A6">
        <v>2019</v>
      </c>
      <c r="B6">
        <v>4</v>
      </c>
      <c r="C6">
        <v>26</v>
      </c>
      <c r="D6">
        <v>21</v>
      </c>
      <c r="E6">
        <v>35.700000000000003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f t="shared" si="0"/>
        <v>0</v>
      </c>
      <c r="M6">
        <f t="shared" si="1"/>
        <v>0.24198058055004801</v>
      </c>
    </row>
    <row r="7" spans="1:13">
      <c r="A7">
        <v>2019</v>
      </c>
      <c r="B7">
        <v>4</v>
      </c>
      <c r="C7">
        <v>26</v>
      </c>
      <c r="D7">
        <v>22</v>
      </c>
      <c r="E7">
        <v>47.6</v>
      </c>
      <c r="F7">
        <v>24</v>
      </c>
      <c r="G7">
        <v>0.5</v>
      </c>
      <c r="H7">
        <v>0</v>
      </c>
      <c r="I7">
        <v>0</v>
      </c>
      <c r="J7">
        <v>0.5</v>
      </c>
      <c r="K7">
        <v>1.5</v>
      </c>
      <c r="L7" s="1">
        <f t="shared" si="0"/>
        <v>5.8527292479811299</v>
      </c>
      <c r="M7">
        <f t="shared" si="1"/>
        <v>0.32264077406673097</v>
      </c>
    </row>
    <row r="8" spans="1:13">
      <c r="A8">
        <v>2019</v>
      </c>
      <c r="B8">
        <v>4</v>
      </c>
      <c r="C8">
        <v>26</v>
      </c>
      <c r="D8">
        <v>23</v>
      </c>
      <c r="E8">
        <v>225</v>
      </c>
      <c r="F8">
        <v>10.5</v>
      </c>
      <c r="G8">
        <v>12</v>
      </c>
      <c r="H8">
        <v>35</v>
      </c>
      <c r="I8">
        <v>23.5</v>
      </c>
      <c r="J8">
        <v>33.5</v>
      </c>
      <c r="K8">
        <v>44.5</v>
      </c>
      <c r="L8" s="1">
        <f t="shared" si="0"/>
        <v>22.196591334866</v>
      </c>
      <c r="M8">
        <f t="shared" si="1"/>
        <v>1.52508769254232</v>
      </c>
    </row>
    <row r="9" spans="1:13">
      <c r="A9">
        <v>2019</v>
      </c>
      <c r="B9">
        <v>4</v>
      </c>
      <c r="C9">
        <v>27</v>
      </c>
      <c r="D9">
        <v>0</v>
      </c>
      <c r="E9">
        <v>153</v>
      </c>
      <c r="F9">
        <v>3</v>
      </c>
      <c r="G9">
        <v>3.5</v>
      </c>
      <c r="H9">
        <v>4.5</v>
      </c>
      <c r="I9">
        <v>4</v>
      </c>
      <c r="J9">
        <v>6.5</v>
      </c>
      <c r="K9">
        <v>4</v>
      </c>
      <c r="L9" s="1">
        <f t="shared" si="0"/>
        <v>3.8194973988782199</v>
      </c>
      <c r="M9">
        <f t="shared" si="1"/>
        <v>1.0370596309287801</v>
      </c>
    </row>
    <row r="10" spans="1:13">
      <c r="A10">
        <v>2019</v>
      </c>
      <c r="B10">
        <v>4</v>
      </c>
      <c r="C10">
        <v>27</v>
      </c>
      <c r="D10">
        <v>1</v>
      </c>
      <c r="E10">
        <v>128</v>
      </c>
      <c r="F10">
        <v>5</v>
      </c>
      <c r="G10">
        <v>4.5</v>
      </c>
      <c r="H10">
        <v>5.5</v>
      </c>
      <c r="I10">
        <v>7</v>
      </c>
      <c r="J10">
        <v>6.5</v>
      </c>
      <c r="K10">
        <v>5.5</v>
      </c>
      <c r="L10" s="1">
        <f t="shared" si="0"/>
        <v>5.3297587913774196</v>
      </c>
      <c r="M10">
        <f t="shared" si="1"/>
        <v>0.86760544286852004</v>
      </c>
    </row>
    <row r="11" spans="1:13">
      <c r="A11">
        <v>2019</v>
      </c>
      <c r="B11">
        <v>4</v>
      </c>
      <c r="C11">
        <v>27</v>
      </c>
      <c r="D11">
        <v>2</v>
      </c>
      <c r="E11">
        <v>127.75</v>
      </c>
      <c r="F11">
        <v>0.5</v>
      </c>
      <c r="G11">
        <v>0.5</v>
      </c>
      <c r="H11">
        <v>1.5</v>
      </c>
      <c r="I11">
        <v>0.5</v>
      </c>
      <c r="J11">
        <v>1</v>
      </c>
      <c r="K11">
        <v>1.5</v>
      </c>
      <c r="L11" s="1">
        <f t="shared" si="0"/>
        <v>0.81534765409504995</v>
      </c>
      <c r="M11">
        <f t="shared" si="1"/>
        <v>0.86591090098791801</v>
      </c>
    </row>
    <row r="12" spans="1:13">
      <c r="A12">
        <v>2019</v>
      </c>
      <c r="B12">
        <v>4</v>
      </c>
      <c r="C12">
        <v>27</v>
      </c>
      <c r="D12">
        <v>3</v>
      </c>
      <c r="E12">
        <v>151.88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1">
        <f t="shared" si="0"/>
        <v>0</v>
      </c>
      <c r="M12">
        <f t="shared" si="1"/>
        <v>1.02946808330368</v>
      </c>
    </row>
    <row r="13" spans="1:13">
      <c r="A13">
        <v>2019</v>
      </c>
      <c r="B13">
        <v>4</v>
      </c>
      <c r="C13">
        <v>27</v>
      </c>
      <c r="D13">
        <v>4</v>
      </c>
      <c r="E13">
        <v>169.01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">
        <f t="shared" si="0"/>
        <v>0</v>
      </c>
      <c r="M13">
        <f t="shared" si="1"/>
        <v>1.1455780929625701</v>
      </c>
    </row>
    <row r="14" spans="1:13">
      <c r="A14">
        <v>2019</v>
      </c>
      <c r="B14">
        <v>4</v>
      </c>
      <c r="C14">
        <v>27</v>
      </c>
      <c r="D14">
        <v>5</v>
      </c>
      <c r="E14">
        <v>177.28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">
        <f t="shared" si="0"/>
        <v>0</v>
      </c>
      <c r="M14">
        <f t="shared" si="1"/>
        <v>1.2016335383729</v>
      </c>
    </row>
    <row r="15" spans="1:13">
      <c r="A15">
        <v>2019</v>
      </c>
      <c r="B15">
        <v>4</v>
      </c>
      <c r="C15">
        <v>27</v>
      </c>
      <c r="D15">
        <v>6</v>
      </c>
      <c r="E15">
        <v>81.03</v>
      </c>
      <c r="F15">
        <v>0</v>
      </c>
      <c r="G15">
        <v>0</v>
      </c>
      <c r="H15">
        <v>0</v>
      </c>
      <c r="I15">
        <v>0</v>
      </c>
      <c r="J15">
        <v>0.5</v>
      </c>
      <c r="K15">
        <v>0</v>
      </c>
      <c r="L15" s="1">
        <f t="shared" si="0"/>
        <v>2.4142514737807302E-2</v>
      </c>
      <c r="M15">
        <f t="shared" si="1"/>
        <v>0.54923491434090799</v>
      </c>
    </row>
    <row r="16" spans="1:13">
      <c r="A16">
        <v>2019</v>
      </c>
      <c r="B16">
        <v>4</v>
      </c>
      <c r="C16">
        <v>27</v>
      </c>
      <c r="D16">
        <v>7</v>
      </c>
      <c r="E16">
        <v>116.72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f t="shared" si="0"/>
        <v>0</v>
      </c>
      <c r="M16">
        <f t="shared" si="1"/>
        <v>0.79114771321573196</v>
      </c>
    </row>
    <row r="17" spans="1:13">
      <c r="A17">
        <v>2019</v>
      </c>
      <c r="B17">
        <v>4</v>
      </c>
      <c r="C17">
        <v>27</v>
      </c>
      <c r="D17">
        <v>8</v>
      </c>
      <c r="E17">
        <v>144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">
        <f t="shared" si="0"/>
        <v>0</v>
      </c>
      <c r="M17">
        <f t="shared" si="1"/>
        <v>0.97605612322708601</v>
      </c>
    </row>
    <row r="18" spans="1:13">
      <c r="A18">
        <v>2019</v>
      </c>
      <c r="B18">
        <v>4</v>
      </c>
      <c r="C18">
        <v>27</v>
      </c>
      <c r="D18">
        <v>9</v>
      </c>
      <c r="E18">
        <v>125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1">
        <f t="shared" si="0"/>
        <v>0</v>
      </c>
      <c r="M18">
        <f t="shared" si="1"/>
        <v>0.84727094030129002</v>
      </c>
    </row>
    <row r="19" spans="1:13">
      <c r="A19">
        <v>2019</v>
      </c>
      <c r="B19">
        <v>4</v>
      </c>
      <c r="C19">
        <v>27</v>
      </c>
      <c r="D19">
        <v>10</v>
      </c>
      <c r="E19">
        <v>112.65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1">
        <f t="shared" si="0"/>
        <v>0</v>
      </c>
      <c r="M19">
        <f t="shared" si="1"/>
        <v>0.76356057139952205</v>
      </c>
    </row>
    <row r="20" spans="1:13">
      <c r="A20">
        <v>2019</v>
      </c>
      <c r="B20">
        <v>4</v>
      </c>
      <c r="C20">
        <v>27</v>
      </c>
      <c r="D20">
        <v>11</v>
      </c>
      <c r="E20">
        <v>102.06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f t="shared" si="0"/>
        <v>0</v>
      </c>
      <c r="M20">
        <f t="shared" si="1"/>
        <v>0.69177977733719698</v>
      </c>
    </row>
    <row r="21" spans="1:13">
      <c r="A21">
        <v>2019</v>
      </c>
      <c r="B21">
        <v>4</v>
      </c>
      <c r="C21">
        <v>27</v>
      </c>
      <c r="D21">
        <v>12</v>
      </c>
      <c r="E21">
        <v>91</v>
      </c>
      <c r="F21">
        <v>15</v>
      </c>
      <c r="G21">
        <v>6</v>
      </c>
      <c r="H21">
        <v>3</v>
      </c>
      <c r="I21">
        <v>10</v>
      </c>
      <c r="J21">
        <v>5</v>
      </c>
      <c r="K21">
        <v>11.5</v>
      </c>
      <c r="L21" s="1">
        <f t="shared" si="0"/>
        <v>8.8134525914252393</v>
      </c>
      <c r="M21">
        <f t="shared" si="1"/>
        <v>0.61681324453933895</v>
      </c>
    </row>
    <row r="22" spans="1:13">
      <c r="A22">
        <v>2019</v>
      </c>
      <c r="B22">
        <v>4</v>
      </c>
      <c r="C22">
        <v>27</v>
      </c>
      <c r="D22">
        <v>13</v>
      </c>
      <c r="E22">
        <v>81.53</v>
      </c>
      <c r="F22">
        <v>1.5</v>
      </c>
      <c r="G22">
        <v>1</v>
      </c>
      <c r="H22">
        <v>0</v>
      </c>
      <c r="I22">
        <v>2</v>
      </c>
      <c r="J22">
        <v>4</v>
      </c>
      <c r="K22">
        <v>6.5</v>
      </c>
      <c r="L22" s="1">
        <f t="shared" si="0"/>
        <v>1.98441868740786</v>
      </c>
      <c r="M22">
        <f t="shared" si="1"/>
        <v>0.55262399810211305</v>
      </c>
    </row>
    <row r="23" spans="1:13">
      <c r="A23">
        <v>2019</v>
      </c>
      <c r="B23">
        <v>4</v>
      </c>
      <c r="C23">
        <v>27</v>
      </c>
      <c r="D23">
        <v>14</v>
      </c>
      <c r="E23">
        <v>93.4</v>
      </c>
      <c r="F23">
        <v>4.5</v>
      </c>
      <c r="G23">
        <v>3.5</v>
      </c>
      <c r="H23">
        <v>4.5</v>
      </c>
      <c r="I23">
        <v>5</v>
      </c>
      <c r="J23">
        <v>5</v>
      </c>
      <c r="K23">
        <v>2.5</v>
      </c>
      <c r="L23" s="1">
        <f t="shared" si="0"/>
        <v>4.0159908268799498</v>
      </c>
      <c r="M23">
        <f t="shared" si="1"/>
        <v>0.63308084659312402</v>
      </c>
    </row>
    <row r="24" spans="1:13">
      <c r="A24">
        <v>2019</v>
      </c>
      <c r="B24">
        <v>4</v>
      </c>
      <c r="C24">
        <v>27</v>
      </c>
      <c r="D24">
        <v>15</v>
      </c>
      <c r="E24">
        <v>34.61</v>
      </c>
      <c r="F24">
        <v>6</v>
      </c>
      <c r="G24">
        <v>4</v>
      </c>
      <c r="H24">
        <v>5.5</v>
      </c>
      <c r="I24">
        <v>4</v>
      </c>
      <c r="J24">
        <v>4</v>
      </c>
      <c r="K24">
        <v>6</v>
      </c>
      <c r="L24" s="1">
        <f t="shared" si="0"/>
        <v>4.9610603689959101</v>
      </c>
      <c r="M24">
        <f t="shared" si="1"/>
        <v>0.23459237795062099</v>
      </c>
    </row>
    <row r="25" spans="1:13">
      <c r="A25">
        <v>2019</v>
      </c>
      <c r="B25">
        <v>4</v>
      </c>
      <c r="C25">
        <v>27</v>
      </c>
      <c r="D25">
        <v>16</v>
      </c>
      <c r="E25">
        <v>28.7</v>
      </c>
      <c r="F25">
        <v>3.5</v>
      </c>
      <c r="G25">
        <v>3.5</v>
      </c>
      <c r="H25">
        <v>8.5</v>
      </c>
      <c r="I25">
        <v>5</v>
      </c>
      <c r="J25">
        <v>3.5</v>
      </c>
      <c r="K25">
        <v>5.5</v>
      </c>
      <c r="L25" s="1">
        <f t="shared" si="0"/>
        <v>4.7440780468333799</v>
      </c>
      <c r="M25">
        <f t="shared" si="1"/>
        <v>0.194533407893176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C000"/>
  </sheetPr>
  <dimension ref="A1:M35"/>
  <sheetViews>
    <sheetView workbookViewId="0">
      <selection activeCell="L3" sqref="L3:M3"/>
    </sheetView>
  </sheetViews>
  <sheetFormatPr defaultColWidth="9" defaultRowHeight="15"/>
  <cols>
    <col min="12" max="13" width="12.570312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2019</v>
      </c>
      <c r="B4">
        <v>6</v>
      </c>
      <c r="C4">
        <v>13</v>
      </c>
      <c r="D4">
        <v>3</v>
      </c>
      <c r="E4">
        <v>24.18</v>
      </c>
      <c r="F4">
        <v>9</v>
      </c>
      <c r="G4">
        <v>12</v>
      </c>
      <c r="H4">
        <v>23</v>
      </c>
      <c r="I4">
        <v>16</v>
      </c>
      <c r="J4">
        <v>10.5</v>
      </c>
      <c r="K4">
        <v>0</v>
      </c>
      <c r="L4" s="1">
        <f>F4*$F$2+G4*$G$2+H4*$H$2+I4*$I$2+J4*$J$2+K4*$K$2</f>
        <v>11.837846463208701</v>
      </c>
      <c r="M4">
        <f>E4*3600/(1000*$L$1)</f>
        <v>0.16389609069188099</v>
      </c>
    </row>
    <row r="5" spans="1:13">
      <c r="A5">
        <v>2019</v>
      </c>
      <c r="B5">
        <v>6</v>
      </c>
      <c r="C5">
        <v>13</v>
      </c>
      <c r="D5">
        <v>4</v>
      </c>
      <c r="E5">
        <v>25.7</v>
      </c>
      <c r="F5">
        <v>11</v>
      </c>
      <c r="G5">
        <v>13</v>
      </c>
      <c r="H5">
        <v>17</v>
      </c>
      <c r="I5">
        <v>27</v>
      </c>
      <c r="J5">
        <v>24</v>
      </c>
      <c r="K5">
        <v>16</v>
      </c>
      <c r="L5" s="1">
        <f t="shared" ref="L5:L35" si="0">F5*$F$2+G5*$G$2+H5*$H$2+I5*$I$2+J5*$J$2+K5*$K$2</f>
        <v>15.940105475817999</v>
      </c>
      <c r="M5">
        <f t="shared" ref="M5:M35" si="1">E5*3600/(1000*$L$1)</f>
        <v>0.17419890532594501</v>
      </c>
    </row>
    <row r="6" spans="1:13">
      <c r="A6">
        <v>2019</v>
      </c>
      <c r="B6">
        <v>6</v>
      </c>
      <c r="C6">
        <v>13</v>
      </c>
      <c r="D6">
        <v>5</v>
      </c>
      <c r="E6">
        <v>194.12</v>
      </c>
      <c r="F6">
        <v>19</v>
      </c>
      <c r="G6">
        <v>12.5</v>
      </c>
      <c r="H6">
        <v>16</v>
      </c>
      <c r="I6">
        <v>23</v>
      </c>
      <c r="J6">
        <v>19.5</v>
      </c>
      <c r="K6">
        <v>12</v>
      </c>
      <c r="L6" s="1">
        <f t="shared" si="0"/>
        <v>16.172079786563</v>
      </c>
      <c r="M6">
        <f t="shared" si="1"/>
        <v>1.3157778794502899</v>
      </c>
    </row>
    <row r="7" spans="1:13">
      <c r="A7">
        <v>2019</v>
      </c>
      <c r="B7">
        <v>6</v>
      </c>
      <c r="C7">
        <v>13</v>
      </c>
      <c r="D7">
        <v>6</v>
      </c>
      <c r="E7">
        <v>215</v>
      </c>
      <c r="F7">
        <v>4.5</v>
      </c>
      <c r="G7">
        <v>32.5</v>
      </c>
      <c r="H7">
        <v>52</v>
      </c>
      <c r="I7">
        <v>25.5</v>
      </c>
      <c r="J7">
        <v>16.5</v>
      </c>
      <c r="K7">
        <v>7</v>
      </c>
      <c r="L7" s="1">
        <f t="shared" si="0"/>
        <v>23.971048751969899</v>
      </c>
      <c r="M7">
        <f t="shared" si="1"/>
        <v>1.45730601731822</v>
      </c>
    </row>
    <row r="8" spans="1:13">
      <c r="A8">
        <v>2019</v>
      </c>
      <c r="B8">
        <v>6</v>
      </c>
      <c r="C8">
        <v>13</v>
      </c>
      <c r="D8">
        <v>7</v>
      </c>
      <c r="E8">
        <v>399</v>
      </c>
      <c r="F8">
        <v>1.5</v>
      </c>
      <c r="G8">
        <v>9.5</v>
      </c>
      <c r="H8">
        <v>20</v>
      </c>
      <c r="I8">
        <v>2</v>
      </c>
      <c r="J8">
        <v>1.5</v>
      </c>
      <c r="K8">
        <v>1.64</v>
      </c>
      <c r="L8" s="1">
        <f t="shared" si="0"/>
        <v>6.8616373793344998</v>
      </c>
      <c r="M8">
        <f t="shared" si="1"/>
        <v>2.7044888414417199</v>
      </c>
    </row>
    <row r="9" spans="1:13">
      <c r="A9">
        <v>2019</v>
      </c>
      <c r="B9">
        <v>6</v>
      </c>
      <c r="C9">
        <v>13</v>
      </c>
      <c r="D9">
        <v>8</v>
      </c>
      <c r="E9">
        <v>471</v>
      </c>
      <c r="F9">
        <v>3.5</v>
      </c>
      <c r="G9">
        <v>14.5</v>
      </c>
      <c r="H9">
        <v>25</v>
      </c>
      <c r="I9">
        <v>8.5</v>
      </c>
      <c r="J9">
        <v>5</v>
      </c>
      <c r="K9">
        <v>0.86</v>
      </c>
      <c r="L9" s="1">
        <f t="shared" si="0"/>
        <v>10.514317447944601</v>
      </c>
      <c r="M9">
        <f t="shared" si="1"/>
        <v>3.1925169030552598</v>
      </c>
    </row>
    <row r="10" spans="1:13">
      <c r="A10">
        <v>2019</v>
      </c>
      <c r="B10">
        <v>6</v>
      </c>
      <c r="C10">
        <v>13</v>
      </c>
      <c r="D10">
        <v>9</v>
      </c>
      <c r="E10">
        <v>637</v>
      </c>
      <c r="F10">
        <v>5.5</v>
      </c>
      <c r="G10">
        <v>13.5</v>
      </c>
      <c r="H10">
        <v>18</v>
      </c>
      <c r="I10">
        <v>13</v>
      </c>
      <c r="J10">
        <v>11</v>
      </c>
      <c r="K10">
        <v>14</v>
      </c>
      <c r="L10" s="1">
        <f t="shared" si="0"/>
        <v>12.2546312771009</v>
      </c>
      <c r="M10">
        <f t="shared" si="1"/>
        <v>4.3176927117753703</v>
      </c>
    </row>
    <row r="11" spans="1:13">
      <c r="A11">
        <v>2019</v>
      </c>
      <c r="B11">
        <v>6</v>
      </c>
      <c r="C11">
        <v>13</v>
      </c>
      <c r="D11">
        <v>10</v>
      </c>
      <c r="E11">
        <v>755.37</v>
      </c>
      <c r="F11">
        <v>0</v>
      </c>
      <c r="G11">
        <v>1</v>
      </c>
      <c r="H11">
        <v>1.5</v>
      </c>
      <c r="I11">
        <v>0.5</v>
      </c>
      <c r="J11">
        <v>1</v>
      </c>
      <c r="K11">
        <v>0</v>
      </c>
      <c r="L11" s="1">
        <f t="shared" si="0"/>
        <v>0.64758706650323805</v>
      </c>
      <c r="M11">
        <f t="shared" si="1"/>
        <v>5.1200244014030796</v>
      </c>
    </row>
    <row r="12" spans="1:13">
      <c r="A12">
        <v>2019</v>
      </c>
      <c r="B12">
        <v>6</v>
      </c>
      <c r="C12">
        <v>13</v>
      </c>
      <c r="D12">
        <v>11</v>
      </c>
      <c r="E12">
        <v>755</v>
      </c>
      <c r="F12">
        <v>1</v>
      </c>
      <c r="G12">
        <v>17.5</v>
      </c>
      <c r="H12">
        <v>6</v>
      </c>
      <c r="I12">
        <v>12.5</v>
      </c>
      <c r="J12">
        <v>8</v>
      </c>
      <c r="K12">
        <v>0.83</v>
      </c>
      <c r="L12" s="1">
        <f t="shared" si="0"/>
        <v>8.5690779432780406</v>
      </c>
      <c r="M12">
        <f t="shared" si="1"/>
        <v>5.1175164794197903</v>
      </c>
    </row>
    <row r="13" spans="1:13">
      <c r="A13">
        <v>2019</v>
      </c>
      <c r="B13">
        <v>6</v>
      </c>
      <c r="C13">
        <v>13</v>
      </c>
      <c r="D13">
        <v>12</v>
      </c>
      <c r="E13">
        <v>771</v>
      </c>
      <c r="F13">
        <v>2</v>
      </c>
      <c r="G13">
        <v>0.5</v>
      </c>
      <c r="H13">
        <v>1.1000000000000001</v>
      </c>
      <c r="I13">
        <v>0.5</v>
      </c>
      <c r="J13">
        <v>2</v>
      </c>
      <c r="K13">
        <v>1.67</v>
      </c>
      <c r="L13" s="1">
        <f t="shared" si="0"/>
        <v>1.1669067832511499</v>
      </c>
      <c r="M13">
        <f t="shared" si="1"/>
        <v>5.2259671597783504</v>
      </c>
    </row>
    <row r="14" spans="1:13">
      <c r="A14">
        <v>2019</v>
      </c>
      <c r="B14">
        <v>6</v>
      </c>
      <c r="C14">
        <v>13</v>
      </c>
      <c r="D14">
        <v>13</v>
      </c>
      <c r="E14">
        <v>734.86</v>
      </c>
      <c r="F14">
        <v>0</v>
      </c>
      <c r="G14">
        <v>0</v>
      </c>
      <c r="H14">
        <v>0.83</v>
      </c>
      <c r="I14">
        <v>0</v>
      </c>
      <c r="J14">
        <v>0</v>
      </c>
      <c r="K14">
        <v>0</v>
      </c>
      <c r="L14" s="1">
        <f t="shared" si="0"/>
        <v>0.12862165963431799</v>
      </c>
      <c r="M14">
        <f t="shared" si="1"/>
        <v>4.9810041855184499</v>
      </c>
    </row>
    <row r="15" spans="1:13">
      <c r="A15">
        <v>2019</v>
      </c>
      <c r="B15">
        <v>6</v>
      </c>
      <c r="C15">
        <v>13</v>
      </c>
      <c r="D15">
        <v>14</v>
      </c>
      <c r="E15">
        <v>636.42999999999995</v>
      </c>
      <c r="F15">
        <v>1.67</v>
      </c>
      <c r="G15">
        <v>0</v>
      </c>
      <c r="H15">
        <v>0.56999999999999995</v>
      </c>
      <c r="I15">
        <v>0.75</v>
      </c>
      <c r="J15">
        <v>5.5</v>
      </c>
      <c r="K15">
        <v>1</v>
      </c>
      <c r="L15" s="1">
        <f t="shared" si="0"/>
        <v>0.96939365525863397</v>
      </c>
      <c r="M15">
        <f t="shared" si="1"/>
        <v>4.3138291562875999</v>
      </c>
    </row>
    <row r="16" spans="1:13">
      <c r="A16">
        <v>2019</v>
      </c>
      <c r="B16">
        <v>6</v>
      </c>
      <c r="C16">
        <v>13</v>
      </c>
      <c r="D16">
        <v>15</v>
      </c>
      <c r="E16">
        <v>375.1</v>
      </c>
      <c r="F16">
        <v>3.33</v>
      </c>
      <c r="G16">
        <v>0.33</v>
      </c>
      <c r="H16">
        <v>0</v>
      </c>
      <c r="I16">
        <v>1.5</v>
      </c>
      <c r="J16">
        <v>10</v>
      </c>
      <c r="K16">
        <v>9</v>
      </c>
      <c r="L16" s="1">
        <f t="shared" si="0"/>
        <v>2.7646523835614398</v>
      </c>
      <c r="M16">
        <f t="shared" si="1"/>
        <v>2.5424906376561101</v>
      </c>
    </row>
    <row r="17" spans="1:13">
      <c r="A17">
        <v>2019</v>
      </c>
      <c r="B17">
        <v>6</v>
      </c>
      <c r="C17">
        <v>13</v>
      </c>
      <c r="D17">
        <v>16</v>
      </c>
      <c r="E17">
        <v>332</v>
      </c>
      <c r="F17">
        <v>0</v>
      </c>
      <c r="G17">
        <v>0.67</v>
      </c>
      <c r="H17">
        <v>6</v>
      </c>
      <c r="I17">
        <v>2.25</v>
      </c>
      <c r="J17">
        <v>0</v>
      </c>
      <c r="K17">
        <v>1.5</v>
      </c>
      <c r="L17" s="1">
        <f t="shared" si="0"/>
        <v>1.63115569639082</v>
      </c>
      <c r="M17">
        <f t="shared" si="1"/>
        <v>2.2503516174402201</v>
      </c>
    </row>
    <row r="18" spans="1:13">
      <c r="A18">
        <v>2019</v>
      </c>
      <c r="B18">
        <v>6</v>
      </c>
      <c r="C18">
        <v>13</v>
      </c>
      <c r="D18">
        <v>17</v>
      </c>
      <c r="E18">
        <v>294</v>
      </c>
      <c r="F18">
        <v>7</v>
      </c>
      <c r="G18">
        <v>1</v>
      </c>
      <c r="H18">
        <v>0</v>
      </c>
      <c r="I18">
        <v>0</v>
      </c>
      <c r="J18">
        <v>3</v>
      </c>
      <c r="K18">
        <v>3</v>
      </c>
      <c r="L18" s="1">
        <f t="shared" si="0"/>
        <v>2.4513016905879499</v>
      </c>
      <c r="M18">
        <f t="shared" si="1"/>
        <v>1.9927812515886301</v>
      </c>
    </row>
    <row r="19" spans="1:13">
      <c r="A19">
        <v>2019</v>
      </c>
      <c r="B19">
        <v>6</v>
      </c>
      <c r="C19">
        <v>13</v>
      </c>
      <c r="D19">
        <v>18</v>
      </c>
      <c r="E19">
        <v>234.98</v>
      </c>
      <c r="F19">
        <v>0.5</v>
      </c>
      <c r="G19">
        <v>3.5</v>
      </c>
      <c r="H19">
        <v>8.5</v>
      </c>
      <c r="I19">
        <v>0.5</v>
      </c>
      <c r="J19">
        <v>13</v>
      </c>
      <c r="K19">
        <v>0</v>
      </c>
      <c r="L19" s="1">
        <f t="shared" si="0"/>
        <v>3.1789596265982798</v>
      </c>
      <c r="M19">
        <f t="shared" si="1"/>
        <v>1.59273380441598</v>
      </c>
    </row>
    <row r="20" spans="1:13">
      <c r="A20">
        <v>2019</v>
      </c>
      <c r="B20">
        <v>6</v>
      </c>
      <c r="C20">
        <v>13</v>
      </c>
      <c r="D20">
        <v>19</v>
      </c>
      <c r="E20">
        <v>190.13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f t="shared" si="0"/>
        <v>0</v>
      </c>
      <c r="M20">
        <f t="shared" si="1"/>
        <v>1.28873299103587</v>
      </c>
    </row>
    <row r="21" spans="1:13">
      <c r="A21">
        <v>2019</v>
      </c>
      <c r="B21">
        <v>6</v>
      </c>
      <c r="C21">
        <v>13</v>
      </c>
      <c r="D21">
        <v>20</v>
      </c>
      <c r="E21">
        <v>214.77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f t="shared" si="0"/>
        <v>0</v>
      </c>
      <c r="M21">
        <f t="shared" si="1"/>
        <v>1.45574703878806</v>
      </c>
    </row>
    <row r="22" spans="1:13">
      <c r="A22">
        <v>2019</v>
      </c>
      <c r="B22">
        <v>6</v>
      </c>
      <c r="C22">
        <v>13</v>
      </c>
      <c r="D22">
        <v>21</v>
      </c>
      <c r="E22">
        <v>230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f t="shared" si="0"/>
        <v>0</v>
      </c>
      <c r="M22">
        <f t="shared" si="1"/>
        <v>1.5589785301543699</v>
      </c>
    </row>
    <row r="23" spans="1:13">
      <c r="A23">
        <v>2019</v>
      </c>
      <c r="B23">
        <v>6</v>
      </c>
      <c r="C23">
        <v>13</v>
      </c>
      <c r="D23">
        <v>22</v>
      </c>
      <c r="E23">
        <v>219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1">
        <f t="shared" si="0"/>
        <v>0</v>
      </c>
      <c r="M23">
        <f t="shared" si="1"/>
        <v>1.48441868740786</v>
      </c>
    </row>
    <row r="24" spans="1:13">
      <c r="A24">
        <v>2019</v>
      </c>
      <c r="B24">
        <v>6</v>
      </c>
      <c r="C24">
        <v>13</v>
      </c>
      <c r="D24">
        <v>23</v>
      </c>
      <c r="E24">
        <v>189.61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1">
        <f t="shared" si="0"/>
        <v>0</v>
      </c>
      <c r="M24">
        <f t="shared" si="1"/>
        <v>1.2852083439242199</v>
      </c>
    </row>
    <row r="25" spans="1:13">
      <c r="A25">
        <v>2019</v>
      </c>
      <c r="B25">
        <v>6</v>
      </c>
      <c r="C25">
        <v>14</v>
      </c>
      <c r="D25">
        <v>0</v>
      </c>
      <c r="E25">
        <v>171.55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f t="shared" si="0"/>
        <v>0</v>
      </c>
      <c r="M25">
        <f t="shared" si="1"/>
        <v>1.16279463846949</v>
      </c>
    </row>
    <row r="26" spans="1:13">
      <c r="A26">
        <v>2019</v>
      </c>
      <c r="B26">
        <v>6</v>
      </c>
      <c r="C26">
        <v>14</v>
      </c>
      <c r="D26">
        <v>1</v>
      </c>
      <c r="E26">
        <v>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f t="shared" si="0"/>
        <v>0</v>
      </c>
      <c r="M26">
        <f t="shared" si="1"/>
        <v>1.1183976411976999</v>
      </c>
    </row>
    <row r="27" spans="1:13">
      <c r="A27">
        <v>2019</v>
      </c>
      <c r="B27">
        <v>6</v>
      </c>
      <c r="C27">
        <v>14</v>
      </c>
      <c r="D27">
        <v>2</v>
      </c>
      <c r="E27">
        <v>160.49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f t="shared" si="0"/>
        <v>0</v>
      </c>
      <c r="M27">
        <f t="shared" si="1"/>
        <v>1.0878281056716299</v>
      </c>
    </row>
    <row r="28" spans="1:13">
      <c r="A28">
        <v>2019</v>
      </c>
      <c r="B28">
        <v>6</v>
      </c>
      <c r="C28">
        <v>14</v>
      </c>
      <c r="D28">
        <v>3</v>
      </c>
      <c r="E28">
        <v>128.97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f t="shared" si="0"/>
        <v>0</v>
      </c>
      <c r="M28">
        <f t="shared" si="1"/>
        <v>0.87418026536525895</v>
      </c>
    </row>
    <row r="29" spans="1:13">
      <c r="A29">
        <v>2019</v>
      </c>
      <c r="B29">
        <v>6</v>
      </c>
      <c r="C29">
        <v>14</v>
      </c>
      <c r="D29">
        <v>4</v>
      </c>
      <c r="E29">
        <v>116.32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f t="shared" si="0"/>
        <v>0</v>
      </c>
      <c r="M29">
        <f t="shared" si="1"/>
        <v>0.788436446206768</v>
      </c>
    </row>
    <row r="30" spans="1:13">
      <c r="A30">
        <v>2019</v>
      </c>
      <c r="B30">
        <v>6</v>
      </c>
      <c r="C30">
        <v>14</v>
      </c>
      <c r="D30">
        <v>5</v>
      </c>
      <c r="E30">
        <v>119.83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s="1">
        <f t="shared" si="0"/>
        <v>0</v>
      </c>
      <c r="M30">
        <f t="shared" si="1"/>
        <v>0.812227814210428</v>
      </c>
    </row>
    <row r="31" spans="1:13">
      <c r="A31">
        <v>2019</v>
      </c>
      <c r="B31">
        <v>6</v>
      </c>
      <c r="C31">
        <v>14</v>
      </c>
      <c r="D31">
        <v>6</v>
      </c>
      <c r="E31">
        <v>127.86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f t="shared" si="0"/>
        <v>0</v>
      </c>
      <c r="M31">
        <f t="shared" si="1"/>
        <v>0.86665649941538303</v>
      </c>
    </row>
    <row r="32" spans="1:13">
      <c r="A32">
        <v>2019</v>
      </c>
      <c r="B32">
        <v>6</v>
      </c>
      <c r="C32">
        <v>14</v>
      </c>
      <c r="D32">
        <v>7</v>
      </c>
      <c r="E32">
        <v>129.38999999999999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s="1">
        <f t="shared" si="0"/>
        <v>0</v>
      </c>
      <c r="M32">
        <f t="shared" si="1"/>
        <v>0.87702709572467097</v>
      </c>
    </row>
    <row r="33" spans="1:13">
      <c r="A33">
        <v>2019</v>
      </c>
      <c r="B33">
        <v>6</v>
      </c>
      <c r="C33">
        <v>14</v>
      </c>
      <c r="D33">
        <v>8</v>
      </c>
      <c r="E33">
        <v>131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">
        <f t="shared" si="0"/>
        <v>0</v>
      </c>
      <c r="M33">
        <f t="shared" si="1"/>
        <v>0.88793994543575105</v>
      </c>
    </row>
    <row r="34" spans="1:13">
      <c r="A34">
        <v>2019</v>
      </c>
      <c r="B34">
        <v>6</v>
      </c>
      <c r="C34">
        <v>14</v>
      </c>
      <c r="D34">
        <v>9</v>
      </c>
      <c r="E34">
        <v>106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1">
        <f t="shared" si="0"/>
        <v>0</v>
      </c>
      <c r="M34">
        <f t="shared" si="1"/>
        <v>0.71848575737549403</v>
      </c>
    </row>
    <row r="35" spans="1:13">
      <c r="A35">
        <v>2019</v>
      </c>
      <c r="B35">
        <v>6</v>
      </c>
      <c r="C35">
        <v>14</v>
      </c>
      <c r="D35">
        <v>10</v>
      </c>
      <c r="E35">
        <v>37.89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1">
        <f t="shared" si="0"/>
        <v>0</v>
      </c>
      <c r="M35">
        <f t="shared" si="1"/>
        <v>0.25682476742412702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C000"/>
  </sheetPr>
  <dimension ref="A1:M82"/>
  <sheetViews>
    <sheetView workbookViewId="0">
      <selection activeCell="L3" sqref="L3:M3"/>
    </sheetView>
  </sheetViews>
  <sheetFormatPr defaultColWidth="9" defaultRowHeight="15"/>
  <cols>
    <col min="12" max="12" width="12.5703125"/>
    <col min="13" max="13" width="13.7109375"/>
  </cols>
  <sheetData>
    <row r="1" spans="1:13">
      <c r="A1">
        <v>0</v>
      </c>
      <c r="B1">
        <v>0</v>
      </c>
      <c r="C1">
        <v>0</v>
      </c>
      <c r="D1">
        <v>0</v>
      </c>
      <c r="E1" t="s">
        <v>11</v>
      </c>
      <c r="F1">
        <v>121.13</v>
      </c>
      <c r="G1">
        <v>160.006</v>
      </c>
      <c r="H1">
        <v>82.305000000000007</v>
      </c>
      <c r="I1">
        <v>69.671999999999997</v>
      </c>
      <c r="J1">
        <v>25.645</v>
      </c>
      <c r="K1">
        <v>72.358999999999995</v>
      </c>
      <c r="L1">
        <v>531.11699999999996</v>
      </c>
      <c r="M1">
        <v>0</v>
      </c>
    </row>
    <row r="2" spans="1:13">
      <c r="A2">
        <v>0</v>
      </c>
      <c r="B2">
        <v>0</v>
      </c>
      <c r="C2">
        <v>0</v>
      </c>
      <c r="D2">
        <v>0</v>
      </c>
      <c r="E2" t="s">
        <v>12</v>
      </c>
      <c r="F2">
        <v>0.22806650888598901</v>
      </c>
      <c r="G2">
        <v>0.30126318683077402</v>
      </c>
      <c r="H2">
        <v>0.15496585498110599</v>
      </c>
      <c r="I2">
        <v>0.13118013545038101</v>
      </c>
      <c r="J2">
        <v>4.8285029475614603E-2</v>
      </c>
      <c r="K2">
        <v>0.136239284376136</v>
      </c>
      <c r="L2">
        <v>1</v>
      </c>
      <c r="M2" t="s">
        <v>14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15</v>
      </c>
      <c r="M3" t="s">
        <v>16</v>
      </c>
    </row>
    <row r="4" spans="1:13">
      <c r="A4">
        <v>2021</v>
      </c>
      <c r="B4">
        <v>5</v>
      </c>
      <c r="C4">
        <v>31</v>
      </c>
      <c r="D4">
        <v>7</v>
      </c>
      <c r="E4">
        <v>8.17</v>
      </c>
      <c r="F4">
        <v>13.5</v>
      </c>
      <c r="G4">
        <v>13.5</v>
      </c>
      <c r="H4">
        <v>12.5</v>
      </c>
      <c r="I4">
        <v>9</v>
      </c>
      <c r="J4">
        <v>29</v>
      </c>
      <c r="K4">
        <v>7</v>
      </c>
      <c r="L4" s="1">
        <f>F4*$F$2+G4*$G$2+H4*$H$2+I4*$I$2+J4*$J$2+K4*$K$2</f>
        <v>12.617586143919301</v>
      </c>
      <c r="M4">
        <f>E4*3600/(1000*$L$1)</f>
        <v>5.5377628658092287E-2</v>
      </c>
    </row>
    <row r="5" spans="1:13">
      <c r="A5">
        <v>2021</v>
      </c>
      <c r="B5">
        <v>5</v>
      </c>
      <c r="C5">
        <v>31</v>
      </c>
      <c r="D5">
        <v>8</v>
      </c>
      <c r="E5">
        <v>64.900000000000006</v>
      </c>
      <c r="F5">
        <v>39.5</v>
      </c>
      <c r="G5">
        <v>39.5</v>
      </c>
      <c r="H5">
        <v>18</v>
      </c>
      <c r="I5">
        <v>54</v>
      </c>
      <c r="J5">
        <v>20</v>
      </c>
      <c r="K5">
        <v>15</v>
      </c>
      <c r="L5" s="1">
        <f t="shared" ref="L5:L36" si="0">F5*$F$2+G5*$G$2+H5*$H$2+I5*$I$2+J5*$J$2+K5*$K$2</f>
        <v>33.790925539946997</v>
      </c>
      <c r="M5">
        <f t="shared" ref="M5:M36" si="1">E5*3600/(1000*$L$1)</f>
        <v>0.43990307220442998</v>
      </c>
    </row>
    <row r="6" spans="1:13">
      <c r="A6">
        <v>2021</v>
      </c>
      <c r="B6">
        <v>5</v>
      </c>
      <c r="C6">
        <v>31</v>
      </c>
      <c r="D6">
        <v>9</v>
      </c>
      <c r="E6">
        <v>248.68</v>
      </c>
      <c r="F6">
        <v>0.5</v>
      </c>
      <c r="G6">
        <v>0.5</v>
      </c>
      <c r="H6">
        <v>3</v>
      </c>
      <c r="I6">
        <v>16.5</v>
      </c>
      <c r="J6">
        <v>20</v>
      </c>
      <c r="K6">
        <v>11.5</v>
      </c>
      <c r="L6" s="1">
        <f t="shared" si="0"/>
        <v>5.4264870075708398</v>
      </c>
      <c r="M6">
        <f t="shared" si="1"/>
        <v>1.685594699473</v>
      </c>
    </row>
    <row r="7" spans="1:13">
      <c r="A7">
        <v>2021</v>
      </c>
      <c r="B7">
        <v>5</v>
      </c>
      <c r="C7">
        <v>31</v>
      </c>
      <c r="D7">
        <v>10</v>
      </c>
      <c r="E7">
        <v>227</v>
      </c>
      <c r="F7">
        <v>9</v>
      </c>
      <c r="G7">
        <v>9</v>
      </c>
      <c r="H7">
        <v>17.5</v>
      </c>
      <c r="I7">
        <v>15</v>
      </c>
      <c r="J7">
        <v>12</v>
      </c>
      <c r="K7">
        <v>8.5</v>
      </c>
      <c r="L7" s="1">
        <f t="shared" si="0"/>
        <v>11.181026026280501</v>
      </c>
      <c r="M7">
        <f t="shared" si="1"/>
        <v>1.53864402758714</v>
      </c>
    </row>
    <row r="8" spans="1:13">
      <c r="A8">
        <v>2021</v>
      </c>
      <c r="B8">
        <v>5</v>
      </c>
      <c r="C8">
        <v>31</v>
      </c>
      <c r="D8">
        <v>11</v>
      </c>
      <c r="E8">
        <v>309.26</v>
      </c>
      <c r="F8">
        <v>32</v>
      </c>
      <c r="G8">
        <v>32</v>
      </c>
      <c r="H8">
        <v>28.5</v>
      </c>
      <c r="I8">
        <v>44</v>
      </c>
      <c r="J8">
        <v>26</v>
      </c>
      <c r="K8">
        <v>26.5</v>
      </c>
      <c r="L8" s="1">
        <f t="shared" si="0"/>
        <v>31.9927548920483</v>
      </c>
      <c r="M8">
        <f t="shared" si="1"/>
        <v>2.09621608798061</v>
      </c>
    </row>
    <row r="9" spans="1:13">
      <c r="A9">
        <v>2021</v>
      </c>
      <c r="B9">
        <v>5</v>
      </c>
      <c r="C9">
        <v>31</v>
      </c>
      <c r="D9">
        <v>12</v>
      </c>
      <c r="E9">
        <v>504</v>
      </c>
      <c r="F9">
        <v>8.5</v>
      </c>
      <c r="G9">
        <v>8.5</v>
      </c>
      <c r="H9">
        <v>21</v>
      </c>
      <c r="I9">
        <v>36</v>
      </c>
      <c r="J9">
        <v>15.5</v>
      </c>
      <c r="K9">
        <v>2.4900000000000002</v>
      </c>
      <c r="L9" s="1">
        <f t="shared" si="0"/>
        <v>13.563724019378</v>
      </c>
      <c r="M9">
        <f t="shared" si="1"/>
        <v>3.4161964312948001</v>
      </c>
    </row>
    <row r="10" spans="1:13">
      <c r="A10">
        <v>2021</v>
      </c>
      <c r="B10">
        <v>5</v>
      </c>
      <c r="C10">
        <v>31</v>
      </c>
      <c r="D10">
        <v>13</v>
      </c>
      <c r="E10">
        <v>621.4</v>
      </c>
      <c r="F10">
        <v>0.5</v>
      </c>
      <c r="G10">
        <v>0.5</v>
      </c>
      <c r="H10">
        <v>0</v>
      </c>
      <c r="I10">
        <v>1</v>
      </c>
      <c r="J10">
        <v>0.5</v>
      </c>
      <c r="K10">
        <v>0.51</v>
      </c>
      <c r="L10" s="1">
        <f t="shared" si="0"/>
        <v>0.48946953307839902</v>
      </c>
      <c r="M10">
        <f t="shared" si="1"/>
        <v>4.2119532984257697</v>
      </c>
    </row>
    <row r="11" spans="1:13">
      <c r="A11">
        <v>2021</v>
      </c>
      <c r="B11">
        <v>5</v>
      </c>
      <c r="C11">
        <v>31</v>
      </c>
      <c r="D11">
        <v>14</v>
      </c>
      <c r="E11">
        <v>606.70000000000005</v>
      </c>
      <c r="F11">
        <v>0</v>
      </c>
      <c r="G11">
        <v>0</v>
      </c>
      <c r="H11">
        <v>0.35</v>
      </c>
      <c r="I11">
        <v>0</v>
      </c>
      <c r="J11">
        <v>0</v>
      </c>
      <c r="K11">
        <v>0</v>
      </c>
      <c r="L11" s="1">
        <f t="shared" si="0"/>
        <v>5.4238049243387099E-2</v>
      </c>
      <c r="M11">
        <f t="shared" si="1"/>
        <v>4.1123142358463403</v>
      </c>
    </row>
    <row r="12" spans="1:13">
      <c r="A12">
        <v>2021</v>
      </c>
      <c r="B12">
        <v>5</v>
      </c>
      <c r="C12">
        <v>31</v>
      </c>
      <c r="D12">
        <v>15</v>
      </c>
      <c r="E12">
        <v>571.39</v>
      </c>
      <c r="F12">
        <v>0</v>
      </c>
      <c r="G12">
        <v>0</v>
      </c>
      <c r="H12">
        <v>0.7</v>
      </c>
      <c r="I12">
        <v>0</v>
      </c>
      <c r="J12">
        <v>0</v>
      </c>
      <c r="K12">
        <v>0</v>
      </c>
      <c r="L12" s="1">
        <f t="shared" si="0"/>
        <v>0.108476098486774</v>
      </c>
      <c r="M12">
        <f t="shared" si="1"/>
        <v>3.87297714063003</v>
      </c>
    </row>
    <row r="13" spans="1:13">
      <c r="A13">
        <v>2021</v>
      </c>
      <c r="B13">
        <v>5</v>
      </c>
      <c r="C13">
        <v>31</v>
      </c>
      <c r="D13">
        <v>16</v>
      </c>
      <c r="E13">
        <v>478.14</v>
      </c>
      <c r="F13">
        <v>11.5</v>
      </c>
      <c r="G13">
        <v>11.5</v>
      </c>
      <c r="H13">
        <v>1.05</v>
      </c>
      <c r="I13">
        <v>4</v>
      </c>
      <c r="J13">
        <v>1</v>
      </c>
      <c r="K13">
        <v>0</v>
      </c>
      <c r="L13" s="1">
        <f t="shared" si="0"/>
        <v>6.8230112197500796</v>
      </c>
      <c r="M13">
        <f t="shared" si="1"/>
        <v>3.2409130191652702</v>
      </c>
    </row>
    <row r="14" spans="1:13">
      <c r="A14">
        <v>2021</v>
      </c>
      <c r="B14">
        <v>5</v>
      </c>
      <c r="C14">
        <v>31</v>
      </c>
      <c r="D14">
        <v>17</v>
      </c>
      <c r="E14">
        <v>295.77</v>
      </c>
      <c r="F14">
        <v>0.5</v>
      </c>
      <c r="G14">
        <v>0.5</v>
      </c>
      <c r="H14">
        <v>1.4</v>
      </c>
      <c r="I14">
        <v>0.71</v>
      </c>
      <c r="J14">
        <v>0</v>
      </c>
      <c r="K14">
        <v>0</v>
      </c>
      <c r="L14" s="1">
        <f t="shared" si="0"/>
        <v>0.57475494100169999</v>
      </c>
      <c r="M14">
        <f t="shared" si="1"/>
        <v>2.0047786081033001</v>
      </c>
    </row>
    <row r="15" spans="1:13">
      <c r="A15">
        <v>2021</v>
      </c>
      <c r="B15">
        <v>5</v>
      </c>
      <c r="C15">
        <v>31</v>
      </c>
      <c r="D15">
        <v>18</v>
      </c>
      <c r="E15">
        <v>211.53</v>
      </c>
      <c r="F15">
        <v>0</v>
      </c>
      <c r="G15">
        <v>0</v>
      </c>
      <c r="H15">
        <v>0</v>
      </c>
      <c r="I15">
        <v>0.28999999999999998</v>
      </c>
      <c r="J15">
        <v>0</v>
      </c>
      <c r="K15">
        <v>0</v>
      </c>
      <c r="L15" s="1">
        <f t="shared" si="0"/>
        <v>3.8042239280610499E-2</v>
      </c>
      <c r="M15">
        <f t="shared" si="1"/>
        <v>1.43378577601545</v>
      </c>
    </row>
    <row r="16" spans="1:13">
      <c r="A16">
        <v>2021</v>
      </c>
      <c r="B16">
        <v>5</v>
      </c>
      <c r="C16">
        <v>31</v>
      </c>
      <c r="D16">
        <v>19</v>
      </c>
      <c r="E16">
        <v>198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f t="shared" si="0"/>
        <v>0</v>
      </c>
      <c r="M16">
        <f t="shared" si="1"/>
        <v>1.34207716943724</v>
      </c>
    </row>
    <row r="17" spans="1:13">
      <c r="A17">
        <v>2021</v>
      </c>
      <c r="B17">
        <v>5</v>
      </c>
      <c r="C17">
        <v>31</v>
      </c>
      <c r="D17">
        <v>20</v>
      </c>
      <c r="E17">
        <v>150.16</v>
      </c>
      <c r="F17">
        <v>7</v>
      </c>
      <c r="G17">
        <v>7</v>
      </c>
      <c r="H17">
        <v>8</v>
      </c>
      <c r="I17">
        <v>3.5</v>
      </c>
      <c r="J17">
        <v>0</v>
      </c>
      <c r="K17">
        <v>0</v>
      </c>
      <c r="L17" s="1">
        <f t="shared" si="0"/>
        <v>5.4041651839425198</v>
      </c>
      <c r="M17">
        <f t="shared" si="1"/>
        <v>1.01780963516513</v>
      </c>
    </row>
    <row r="18" spans="1:13">
      <c r="A18">
        <v>2021</v>
      </c>
      <c r="B18">
        <v>5</v>
      </c>
      <c r="C18">
        <v>31</v>
      </c>
      <c r="D18">
        <v>21</v>
      </c>
      <c r="E18">
        <v>146.44</v>
      </c>
      <c r="F18">
        <v>12</v>
      </c>
      <c r="G18">
        <v>12</v>
      </c>
      <c r="H18">
        <v>2</v>
      </c>
      <c r="I18">
        <v>11.5</v>
      </c>
      <c r="J18">
        <v>6.5</v>
      </c>
      <c r="K18">
        <v>4.5</v>
      </c>
      <c r="L18" s="1">
        <f t="shared" si="0"/>
        <v>9.0973890875268602</v>
      </c>
      <c r="M18">
        <f t="shared" si="1"/>
        <v>0.992594851981767</v>
      </c>
    </row>
    <row r="19" spans="1:13">
      <c r="A19">
        <v>2021</v>
      </c>
      <c r="B19">
        <v>5</v>
      </c>
      <c r="C19">
        <v>31</v>
      </c>
      <c r="D19">
        <v>22</v>
      </c>
      <c r="E19">
        <v>143.63999999999999</v>
      </c>
      <c r="F19">
        <v>1.5</v>
      </c>
      <c r="G19">
        <v>1.5</v>
      </c>
      <c r="H19">
        <v>3.5</v>
      </c>
      <c r="I19">
        <v>2</v>
      </c>
      <c r="J19">
        <v>2</v>
      </c>
      <c r="K19">
        <v>1</v>
      </c>
      <c r="L19" s="1">
        <f t="shared" si="0"/>
        <v>1.83154465023714</v>
      </c>
      <c r="M19">
        <f t="shared" si="1"/>
        <v>0.97361598291901796</v>
      </c>
    </row>
    <row r="20" spans="1:13">
      <c r="A20">
        <v>2021</v>
      </c>
      <c r="B20">
        <v>5</v>
      </c>
      <c r="C20">
        <v>31</v>
      </c>
      <c r="D20">
        <v>23</v>
      </c>
      <c r="E20">
        <v>141.44999999999999</v>
      </c>
      <c r="F20">
        <v>0</v>
      </c>
      <c r="G20">
        <v>0</v>
      </c>
      <c r="H20">
        <v>0.5</v>
      </c>
      <c r="I20">
        <v>0</v>
      </c>
      <c r="J20">
        <v>0</v>
      </c>
      <c r="K20">
        <v>0</v>
      </c>
      <c r="L20" s="1">
        <f t="shared" si="0"/>
        <v>7.7482927490552994E-2</v>
      </c>
      <c r="M20">
        <f t="shared" si="1"/>
        <v>0.95877179604493901</v>
      </c>
    </row>
    <row r="21" spans="1:13">
      <c r="A21">
        <v>2021</v>
      </c>
      <c r="B21">
        <v>6</v>
      </c>
      <c r="C21">
        <v>1</v>
      </c>
      <c r="D21">
        <v>0</v>
      </c>
      <c r="E21">
        <v>139.88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f t="shared" si="0"/>
        <v>0</v>
      </c>
      <c r="M21">
        <f t="shared" si="1"/>
        <v>0.94813007303475505</v>
      </c>
    </row>
    <row r="22" spans="1:13">
      <c r="A22">
        <v>2021</v>
      </c>
      <c r="B22">
        <v>6</v>
      </c>
      <c r="C22">
        <v>1</v>
      </c>
      <c r="D22">
        <v>1</v>
      </c>
      <c r="E22">
        <v>181.4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f t="shared" si="0"/>
        <v>0</v>
      </c>
      <c r="M22">
        <f t="shared" si="1"/>
        <v>1.22955958856523</v>
      </c>
    </row>
    <row r="23" spans="1:13">
      <c r="A23">
        <v>2021</v>
      </c>
      <c r="B23">
        <v>6</v>
      </c>
      <c r="C23">
        <v>1</v>
      </c>
      <c r="D23">
        <v>2</v>
      </c>
      <c r="E23">
        <v>186.76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1">
        <f t="shared" si="0"/>
        <v>0</v>
      </c>
      <c r="M23">
        <f t="shared" si="1"/>
        <v>1.2658905664853499</v>
      </c>
    </row>
    <row r="24" spans="1:13">
      <c r="A24">
        <v>2021</v>
      </c>
      <c r="B24">
        <v>6</v>
      </c>
      <c r="C24">
        <v>1</v>
      </c>
      <c r="D24">
        <v>3</v>
      </c>
      <c r="E24">
        <v>167.9</v>
      </c>
      <c r="F24">
        <v>0.5</v>
      </c>
      <c r="G24">
        <v>0</v>
      </c>
      <c r="H24">
        <v>0</v>
      </c>
      <c r="I24">
        <v>0</v>
      </c>
      <c r="J24">
        <v>0</v>
      </c>
      <c r="K24">
        <v>0</v>
      </c>
      <c r="L24" s="1">
        <f t="shared" si="0"/>
        <v>0.114033254442995</v>
      </c>
      <c r="M24">
        <f t="shared" si="1"/>
        <v>1.1380543270126899</v>
      </c>
    </row>
    <row r="25" spans="1:13">
      <c r="A25">
        <v>2021</v>
      </c>
      <c r="B25">
        <v>6</v>
      </c>
      <c r="C25">
        <v>1</v>
      </c>
      <c r="D25">
        <v>4</v>
      </c>
      <c r="E25">
        <v>136.76</v>
      </c>
      <c r="F25">
        <v>3</v>
      </c>
      <c r="G25">
        <v>0.5</v>
      </c>
      <c r="H25">
        <v>0</v>
      </c>
      <c r="I25">
        <v>0.67</v>
      </c>
      <c r="J25">
        <v>0</v>
      </c>
      <c r="K25">
        <v>0</v>
      </c>
      <c r="L25" s="1">
        <f t="shared" si="0"/>
        <v>0.92272181082510896</v>
      </c>
      <c r="M25">
        <f t="shared" si="1"/>
        <v>0.92698219036483498</v>
      </c>
    </row>
    <row r="26" spans="1:13">
      <c r="A26">
        <v>2021</v>
      </c>
      <c r="B26">
        <v>6</v>
      </c>
      <c r="C26">
        <v>1</v>
      </c>
      <c r="D26">
        <v>5</v>
      </c>
      <c r="E26">
        <v>105.28</v>
      </c>
      <c r="F26">
        <v>0.5</v>
      </c>
      <c r="G26">
        <v>0</v>
      </c>
      <c r="H26">
        <v>0</v>
      </c>
      <c r="I26">
        <v>1.33</v>
      </c>
      <c r="J26">
        <v>2</v>
      </c>
      <c r="K26">
        <v>3</v>
      </c>
      <c r="L26" s="1">
        <f t="shared" si="0"/>
        <v>0.79379074667163896</v>
      </c>
      <c r="M26">
        <f t="shared" si="1"/>
        <v>0.71360547675935804</v>
      </c>
    </row>
    <row r="27" spans="1:13">
      <c r="A27">
        <v>2021</v>
      </c>
      <c r="B27">
        <v>6</v>
      </c>
      <c r="C27">
        <v>1</v>
      </c>
      <c r="D27">
        <v>6</v>
      </c>
      <c r="E27">
        <v>85.39</v>
      </c>
      <c r="F27">
        <v>5.5</v>
      </c>
      <c r="G27">
        <v>0</v>
      </c>
      <c r="H27">
        <v>4</v>
      </c>
      <c r="I27">
        <v>0</v>
      </c>
      <c r="J27">
        <v>0</v>
      </c>
      <c r="K27">
        <v>0</v>
      </c>
      <c r="L27" s="1">
        <f t="shared" si="0"/>
        <v>1.8742292187973599</v>
      </c>
      <c r="M27">
        <f t="shared" si="1"/>
        <v>0.57878772473861695</v>
      </c>
    </row>
    <row r="28" spans="1:13">
      <c r="A28">
        <v>2021</v>
      </c>
      <c r="B28">
        <v>6</v>
      </c>
      <c r="C28">
        <v>1</v>
      </c>
      <c r="D28">
        <v>7</v>
      </c>
      <c r="E28">
        <v>70.099999999999994</v>
      </c>
      <c r="F28">
        <v>1.97</v>
      </c>
      <c r="G28">
        <v>19.5</v>
      </c>
      <c r="H28">
        <v>3.5</v>
      </c>
      <c r="I28">
        <v>13</v>
      </c>
      <c r="J28">
        <v>0.5</v>
      </c>
      <c r="K28">
        <v>2.5</v>
      </c>
      <c r="L28" s="1">
        <f t="shared" si="0"/>
        <v>8.9363861446724595</v>
      </c>
      <c r="M28">
        <f t="shared" si="1"/>
        <v>0.47514954332096299</v>
      </c>
    </row>
    <row r="29" spans="1:13">
      <c r="A29">
        <v>2021</v>
      </c>
      <c r="B29">
        <v>6</v>
      </c>
      <c r="C29">
        <v>1</v>
      </c>
      <c r="D29">
        <v>8</v>
      </c>
      <c r="E29">
        <v>99</v>
      </c>
      <c r="F29">
        <v>1.53</v>
      </c>
      <c r="G29">
        <v>10.5</v>
      </c>
      <c r="H29">
        <v>7.5</v>
      </c>
      <c r="I29">
        <v>27</v>
      </c>
      <c r="J29">
        <v>15.5</v>
      </c>
      <c r="K29">
        <v>31.5</v>
      </c>
      <c r="L29" s="1">
        <f t="shared" si="0"/>
        <v>13.2562682045576</v>
      </c>
      <c r="M29">
        <f t="shared" si="1"/>
        <v>0.67103858471862099</v>
      </c>
    </row>
    <row r="30" spans="1:13">
      <c r="A30">
        <v>2021</v>
      </c>
      <c r="B30">
        <v>6</v>
      </c>
      <c r="C30">
        <v>1</v>
      </c>
      <c r="D30">
        <v>9</v>
      </c>
      <c r="E30">
        <v>126.77</v>
      </c>
      <c r="F30">
        <v>14.5</v>
      </c>
      <c r="G30">
        <v>3</v>
      </c>
      <c r="H30">
        <v>4.5</v>
      </c>
      <c r="I30">
        <v>8.5</v>
      </c>
      <c r="J30">
        <v>9.5</v>
      </c>
      <c r="K30">
        <v>3</v>
      </c>
      <c r="L30" s="1">
        <f t="shared" si="0"/>
        <v>6.8905570712291304</v>
      </c>
      <c r="M30">
        <f t="shared" si="1"/>
        <v>0.85926829681595596</v>
      </c>
    </row>
    <row r="31" spans="1:13">
      <c r="A31">
        <v>2021</v>
      </c>
      <c r="B31">
        <v>6</v>
      </c>
      <c r="C31">
        <v>1</v>
      </c>
      <c r="D31">
        <v>10</v>
      </c>
      <c r="E31">
        <v>171.2</v>
      </c>
      <c r="F31">
        <v>9</v>
      </c>
      <c r="G31">
        <v>13.5</v>
      </c>
      <c r="H31">
        <v>4</v>
      </c>
      <c r="I31">
        <v>12.5</v>
      </c>
      <c r="J31">
        <v>6</v>
      </c>
      <c r="K31">
        <v>17.5</v>
      </c>
      <c r="L31" s="1">
        <f t="shared" si="0"/>
        <v>11.0531643686796</v>
      </c>
      <c r="M31">
        <f t="shared" si="1"/>
        <v>1.1604222798366499</v>
      </c>
    </row>
    <row r="32" spans="1:13">
      <c r="A32">
        <v>2021</v>
      </c>
      <c r="B32">
        <v>6</v>
      </c>
      <c r="C32">
        <v>1</v>
      </c>
      <c r="D32">
        <v>11</v>
      </c>
      <c r="E32">
        <v>228.79</v>
      </c>
      <c r="F32">
        <v>0.5</v>
      </c>
      <c r="G32">
        <v>6.5</v>
      </c>
      <c r="H32">
        <v>7.5</v>
      </c>
      <c r="I32">
        <v>5</v>
      </c>
      <c r="J32">
        <v>8</v>
      </c>
      <c r="K32">
        <v>1.5</v>
      </c>
      <c r="L32" s="1">
        <f t="shared" si="0"/>
        <v>4.4810277208223503</v>
      </c>
      <c r="M32">
        <f t="shared" si="1"/>
        <v>1.5507769474522599</v>
      </c>
    </row>
    <row r="33" spans="1:13">
      <c r="A33">
        <v>2021</v>
      </c>
      <c r="B33">
        <v>6</v>
      </c>
      <c r="C33">
        <v>1</v>
      </c>
      <c r="D33">
        <v>12</v>
      </c>
      <c r="E33">
        <v>259</v>
      </c>
      <c r="F33">
        <v>16.5</v>
      </c>
      <c r="G33">
        <v>0</v>
      </c>
      <c r="H33">
        <v>1.41</v>
      </c>
      <c r="I33">
        <v>1.5</v>
      </c>
      <c r="J33">
        <v>1.5</v>
      </c>
      <c r="K33">
        <v>6.5</v>
      </c>
      <c r="L33" s="1">
        <f t="shared" si="0"/>
        <v>5.13635234797606</v>
      </c>
      <c r="M33">
        <f t="shared" si="1"/>
        <v>1.75554538830427</v>
      </c>
    </row>
    <row r="34" spans="1:13">
      <c r="A34">
        <v>2021</v>
      </c>
      <c r="B34">
        <v>6</v>
      </c>
      <c r="C34">
        <v>1</v>
      </c>
      <c r="D34">
        <v>13</v>
      </c>
      <c r="E34">
        <v>263.49</v>
      </c>
      <c r="F34">
        <v>3</v>
      </c>
      <c r="G34">
        <v>19.5</v>
      </c>
      <c r="H34">
        <v>0.59</v>
      </c>
      <c r="I34">
        <v>21</v>
      </c>
      <c r="J34">
        <v>7</v>
      </c>
      <c r="K34">
        <v>7.5</v>
      </c>
      <c r="L34" s="1">
        <f t="shared" si="0"/>
        <v>10.764834207905199</v>
      </c>
      <c r="M34">
        <f t="shared" si="1"/>
        <v>1.7859793604798899</v>
      </c>
    </row>
    <row r="35" spans="1:13">
      <c r="A35">
        <v>2021</v>
      </c>
      <c r="B35">
        <v>6</v>
      </c>
      <c r="C35">
        <v>1</v>
      </c>
      <c r="D35">
        <v>14</v>
      </c>
      <c r="E35">
        <v>255.71</v>
      </c>
      <c r="F35">
        <v>0</v>
      </c>
      <c r="G35">
        <v>1.69</v>
      </c>
      <c r="H35">
        <v>0</v>
      </c>
      <c r="I35">
        <v>2</v>
      </c>
      <c r="J35">
        <v>3.5</v>
      </c>
      <c r="K35">
        <v>0</v>
      </c>
      <c r="L35" s="1">
        <f t="shared" si="0"/>
        <v>0.94049265980942098</v>
      </c>
      <c r="M35">
        <f t="shared" si="1"/>
        <v>1.7332452171555399</v>
      </c>
    </row>
    <row r="36" spans="1:13">
      <c r="A36">
        <v>2021</v>
      </c>
      <c r="B36">
        <v>6</v>
      </c>
      <c r="C36">
        <v>1</v>
      </c>
      <c r="D36">
        <v>15</v>
      </c>
      <c r="E36">
        <v>234.19</v>
      </c>
      <c r="F36">
        <v>0</v>
      </c>
      <c r="G36">
        <v>0.31</v>
      </c>
      <c r="H36">
        <v>0.5</v>
      </c>
      <c r="I36">
        <v>0</v>
      </c>
      <c r="J36">
        <v>0</v>
      </c>
      <c r="K36">
        <v>0</v>
      </c>
      <c r="L36" s="1">
        <f t="shared" si="0"/>
        <v>0.17087451540809301</v>
      </c>
      <c r="M36">
        <f t="shared" si="1"/>
        <v>1.58737905207327</v>
      </c>
    </row>
    <row r="37" spans="1:13">
      <c r="A37">
        <v>2021</v>
      </c>
      <c r="B37">
        <v>6</v>
      </c>
      <c r="C37">
        <v>1</v>
      </c>
      <c r="D37">
        <v>16</v>
      </c>
      <c r="E37">
        <v>228.89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1">
        <f t="shared" ref="L37:L68" si="2">F37*$F$2+G37*$G$2+H37*$H$2+I37*$I$2+J37*$J$2+K37*$K$2</f>
        <v>0</v>
      </c>
      <c r="M37">
        <f t="shared" ref="M37:M68" si="3">E37*3600/(1000*$L$1)</f>
        <v>1.5514547642045</v>
      </c>
    </row>
    <row r="38" spans="1:13">
      <c r="A38">
        <v>2021</v>
      </c>
      <c r="B38">
        <v>6</v>
      </c>
      <c r="C38">
        <v>1</v>
      </c>
      <c r="D38">
        <v>17</v>
      </c>
      <c r="E38">
        <v>205</v>
      </c>
      <c r="F38">
        <v>0</v>
      </c>
      <c r="G38">
        <v>0</v>
      </c>
      <c r="H38">
        <v>0</v>
      </c>
      <c r="I38">
        <v>0</v>
      </c>
      <c r="J38">
        <v>0</v>
      </c>
      <c r="K38">
        <v>0.5</v>
      </c>
      <c r="L38" s="1">
        <f t="shared" si="2"/>
        <v>6.8119642188068E-2</v>
      </c>
      <c r="M38">
        <f t="shared" si="3"/>
        <v>1.3895243420941099</v>
      </c>
    </row>
    <row r="39" spans="1:13">
      <c r="A39">
        <v>2021</v>
      </c>
      <c r="B39">
        <v>6</v>
      </c>
      <c r="C39">
        <v>1</v>
      </c>
      <c r="D39">
        <v>18</v>
      </c>
      <c r="E39">
        <v>187</v>
      </c>
      <c r="F39">
        <v>9.5</v>
      </c>
      <c r="G39">
        <v>0.42</v>
      </c>
      <c r="H39">
        <v>18</v>
      </c>
      <c r="I39">
        <v>0.57999999999999996</v>
      </c>
      <c r="J39">
        <v>0</v>
      </c>
      <c r="K39">
        <v>0</v>
      </c>
      <c r="L39" s="1">
        <f t="shared" si="2"/>
        <v>5.1586322411069503</v>
      </c>
      <c r="M39">
        <f t="shared" si="3"/>
        <v>1.26751732669073</v>
      </c>
    </row>
    <row r="40" spans="1:13">
      <c r="A40">
        <v>2021</v>
      </c>
      <c r="B40">
        <v>6</v>
      </c>
      <c r="C40">
        <v>1</v>
      </c>
      <c r="D40">
        <v>19</v>
      </c>
      <c r="E40">
        <v>167.46</v>
      </c>
      <c r="F40">
        <v>5</v>
      </c>
      <c r="G40">
        <v>0.83</v>
      </c>
      <c r="H40">
        <v>0.9</v>
      </c>
      <c r="I40">
        <v>1.17</v>
      </c>
      <c r="J40">
        <v>6</v>
      </c>
      <c r="K40">
        <v>17</v>
      </c>
      <c r="L40" s="1">
        <f t="shared" si="2"/>
        <v>4.28910902870743</v>
      </c>
      <c r="M40">
        <f t="shared" si="3"/>
        <v>1.1350719333028301</v>
      </c>
    </row>
    <row r="41" spans="1:13">
      <c r="A41">
        <v>2021</v>
      </c>
      <c r="B41">
        <v>6</v>
      </c>
      <c r="C41">
        <v>1</v>
      </c>
      <c r="D41">
        <v>20</v>
      </c>
      <c r="E41">
        <v>154.91999999999999</v>
      </c>
      <c r="F41">
        <v>0</v>
      </c>
      <c r="G41">
        <v>1.25</v>
      </c>
      <c r="H41">
        <v>0.1</v>
      </c>
      <c r="I41">
        <v>1.75</v>
      </c>
      <c r="J41">
        <v>0.5</v>
      </c>
      <c r="K41">
        <v>0.5</v>
      </c>
      <c r="L41" s="1">
        <f t="shared" si="2"/>
        <v>0.71390296300061995</v>
      </c>
      <c r="M41">
        <f t="shared" si="3"/>
        <v>1.05007371257181</v>
      </c>
    </row>
    <row r="42" spans="1:13">
      <c r="A42">
        <v>2021</v>
      </c>
      <c r="B42">
        <v>6</v>
      </c>
      <c r="C42">
        <v>1</v>
      </c>
      <c r="D42">
        <v>21</v>
      </c>
      <c r="E42">
        <v>147.65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1">
        <f t="shared" si="2"/>
        <v>0</v>
      </c>
      <c r="M42">
        <f t="shared" si="3"/>
        <v>1.00079643468388</v>
      </c>
    </row>
    <row r="43" spans="1:13">
      <c r="A43">
        <v>2021</v>
      </c>
      <c r="B43">
        <v>6</v>
      </c>
      <c r="C43">
        <v>1</v>
      </c>
      <c r="D43">
        <v>22</v>
      </c>
      <c r="E43">
        <v>143.91999999999999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1">
        <f t="shared" si="2"/>
        <v>0</v>
      </c>
      <c r="M43">
        <f t="shared" si="3"/>
        <v>0.97551386982529298</v>
      </c>
    </row>
    <row r="44" spans="1:13">
      <c r="A44">
        <v>2021</v>
      </c>
      <c r="B44">
        <v>6</v>
      </c>
      <c r="C44">
        <v>1</v>
      </c>
      <c r="D44">
        <v>23</v>
      </c>
      <c r="E44">
        <v>142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1">
        <f t="shared" si="2"/>
        <v>0</v>
      </c>
      <c r="M44">
        <f t="shared" si="3"/>
        <v>0.962499788182265</v>
      </c>
    </row>
    <row r="45" spans="1:13">
      <c r="A45">
        <v>2021</v>
      </c>
      <c r="B45">
        <v>6</v>
      </c>
      <c r="C45">
        <v>2</v>
      </c>
      <c r="D45">
        <v>0</v>
      </c>
      <c r="E45">
        <v>140</v>
      </c>
      <c r="F45">
        <v>0</v>
      </c>
      <c r="G45">
        <v>0.5</v>
      </c>
      <c r="H45">
        <v>0</v>
      </c>
      <c r="I45">
        <v>0</v>
      </c>
      <c r="J45">
        <v>0</v>
      </c>
      <c r="K45">
        <v>0</v>
      </c>
      <c r="L45" s="1">
        <f t="shared" si="2"/>
        <v>0.15063159341538701</v>
      </c>
      <c r="M45">
        <f t="shared" si="3"/>
        <v>0.94894345313744399</v>
      </c>
    </row>
    <row r="46" spans="1:13">
      <c r="A46">
        <v>2021</v>
      </c>
      <c r="B46">
        <v>6</v>
      </c>
      <c r="C46">
        <v>2</v>
      </c>
      <c r="D46">
        <v>1</v>
      </c>
      <c r="E46">
        <v>136</v>
      </c>
      <c r="F46">
        <v>0</v>
      </c>
      <c r="G46">
        <v>0</v>
      </c>
      <c r="H46">
        <v>0</v>
      </c>
      <c r="I46">
        <v>0</v>
      </c>
      <c r="J46">
        <v>0.5</v>
      </c>
      <c r="K46">
        <v>0</v>
      </c>
      <c r="L46" s="1">
        <f t="shared" si="2"/>
        <v>2.4142514737807302E-2</v>
      </c>
      <c r="M46">
        <f t="shared" si="3"/>
        <v>0.92183078304780297</v>
      </c>
    </row>
    <row r="47" spans="1:13">
      <c r="A47">
        <v>2021</v>
      </c>
      <c r="B47">
        <v>6</v>
      </c>
      <c r="C47">
        <v>2</v>
      </c>
      <c r="D47">
        <v>2</v>
      </c>
      <c r="E47">
        <v>130.30000000000001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1">
        <f t="shared" si="2"/>
        <v>0</v>
      </c>
      <c r="M47">
        <f t="shared" si="3"/>
        <v>0.88319522817006402</v>
      </c>
    </row>
    <row r="48" spans="1:13">
      <c r="A48">
        <v>2021</v>
      </c>
      <c r="B48">
        <v>6</v>
      </c>
      <c r="C48">
        <v>2</v>
      </c>
      <c r="D48">
        <v>3</v>
      </c>
      <c r="E48">
        <v>123.81</v>
      </c>
      <c r="F48">
        <v>0.5</v>
      </c>
      <c r="G48">
        <v>0</v>
      </c>
      <c r="H48">
        <v>0</v>
      </c>
      <c r="I48">
        <v>0</v>
      </c>
      <c r="J48">
        <v>0</v>
      </c>
      <c r="K48">
        <v>0</v>
      </c>
      <c r="L48" s="1">
        <f t="shared" si="2"/>
        <v>0.114033254442995</v>
      </c>
      <c r="M48">
        <f t="shared" si="3"/>
        <v>0.83920492094962096</v>
      </c>
    </row>
    <row r="49" spans="1:13">
      <c r="A49">
        <v>2021</v>
      </c>
      <c r="B49">
        <v>6</v>
      </c>
      <c r="C49">
        <v>2</v>
      </c>
      <c r="D49">
        <v>4</v>
      </c>
      <c r="E49">
        <v>117.41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1">
        <f t="shared" si="2"/>
        <v>0</v>
      </c>
      <c r="M49">
        <f t="shared" si="3"/>
        <v>0.79582464880619497</v>
      </c>
    </row>
    <row r="50" spans="1:13">
      <c r="A50">
        <v>2021</v>
      </c>
      <c r="B50">
        <v>6</v>
      </c>
      <c r="C50">
        <v>2</v>
      </c>
      <c r="D50">
        <v>5</v>
      </c>
      <c r="E50">
        <v>112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1">
        <f t="shared" si="2"/>
        <v>0</v>
      </c>
      <c r="M50">
        <f t="shared" si="3"/>
        <v>0.75915476250995495</v>
      </c>
    </row>
    <row r="51" spans="1:13">
      <c r="A51">
        <v>2021</v>
      </c>
      <c r="B51">
        <v>6</v>
      </c>
      <c r="C51">
        <v>2</v>
      </c>
      <c r="D51">
        <v>6</v>
      </c>
      <c r="E51">
        <v>108.27</v>
      </c>
      <c r="F51">
        <v>0</v>
      </c>
      <c r="G51">
        <v>4.5</v>
      </c>
      <c r="H51">
        <v>3.5</v>
      </c>
      <c r="I51">
        <v>0</v>
      </c>
      <c r="J51">
        <v>0</v>
      </c>
      <c r="K51">
        <v>0</v>
      </c>
      <c r="L51" s="1">
        <f t="shared" si="2"/>
        <v>1.89806483317235</v>
      </c>
      <c r="M51">
        <f t="shared" si="3"/>
        <v>0.73387219765136502</v>
      </c>
    </row>
    <row r="52" spans="1:13">
      <c r="A52">
        <v>2021</v>
      </c>
      <c r="B52">
        <v>6</v>
      </c>
      <c r="C52">
        <v>2</v>
      </c>
      <c r="D52">
        <v>7</v>
      </c>
      <c r="E52">
        <v>106.07</v>
      </c>
      <c r="F52">
        <v>7</v>
      </c>
      <c r="G52">
        <v>3.5</v>
      </c>
      <c r="H52">
        <v>1.1599999999999999</v>
      </c>
      <c r="I52">
        <v>8.5</v>
      </c>
      <c r="J52">
        <v>5.5</v>
      </c>
      <c r="K52">
        <v>5</v>
      </c>
      <c r="L52" s="1">
        <f t="shared" si="2"/>
        <v>4.8924423432125099</v>
      </c>
      <c r="M52">
        <f t="shared" si="3"/>
        <v>0.71896022910206203</v>
      </c>
    </row>
    <row r="53" spans="1:13">
      <c r="A53">
        <v>2021</v>
      </c>
      <c r="B53">
        <v>6</v>
      </c>
      <c r="C53">
        <v>2</v>
      </c>
      <c r="D53">
        <v>8</v>
      </c>
      <c r="E53">
        <v>105</v>
      </c>
      <c r="F53">
        <v>0.5</v>
      </c>
      <c r="G53">
        <v>1.5</v>
      </c>
      <c r="H53">
        <v>0.84</v>
      </c>
      <c r="I53">
        <v>1</v>
      </c>
      <c r="J53">
        <v>2.5</v>
      </c>
      <c r="K53">
        <v>0.5</v>
      </c>
      <c r="L53" s="1">
        <f t="shared" si="2"/>
        <v>1.0161117042007699</v>
      </c>
      <c r="M53">
        <f t="shared" si="3"/>
        <v>0.71170758985308302</v>
      </c>
    </row>
    <row r="54" spans="1:13">
      <c r="A54">
        <v>2021</v>
      </c>
      <c r="B54">
        <v>6</v>
      </c>
      <c r="C54">
        <v>2</v>
      </c>
      <c r="D54">
        <v>9</v>
      </c>
      <c r="E54">
        <v>106.85</v>
      </c>
      <c r="F54">
        <v>4</v>
      </c>
      <c r="G54">
        <v>4.5</v>
      </c>
      <c r="H54">
        <v>1.5</v>
      </c>
      <c r="I54">
        <v>10</v>
      </c>
      <c r="J54">
        <v>10.5</v>
      </c>
      <c r="K54">
        <v>5</v>
      </c>
      <c r="L54" s="1">
        <f t="shared" si="2"/>
        <v>5.0003897446325398</v>
      </c>
      <c r="M54">
        <f t="shared" si="3"/>
        <v>0.72424719976954199</v>
      </c>
    </row>
    <row r="55" spans="1:13">
      <c r="A55">
        <v>2021</v>
      </c>
      <c r="B55">
        <v>6</v>
      </c>
      <c r="C55">
        <v>2</v>
      </c>
      <c r="D55">
        <v>10</v>
      </c>
      <c r="E55">
        <v>112.94</v>
      </c>
      <c r="F55">
        <v>1.5</v>
      </c>
      <c r="G55">
        <v>4.5</v>
      </c>
      <c r="H55">
        <v>3.5</v>
      </c>
      <c r="I55">
        <v>4.5</v>
      </c>
      <c r="J55">
        <v>5</v>
      </c>
      <c r="K55">
        <v>0</v>
      </c>
      <c r="L55" s="1">
        <f t="shared" si="2"/>
        <v>3.0719003534061202</v>
      </c>
      <c r="M55">
        <f t="shared" si="3"/>
        <v>0.76552623998102098</v>
      </c>
    </row>
    <row r="56" spans="1:13">
      <c r="A56">
        <v>2021</v>
      </c>
      <c r="B56">
        <v>6</v>
      </c>
      <c r="C56">
        <v>2</v>
      </c>
      <c r="D56">
        <v>11</v>
      </c>
      <c r="E56">
        <v>118</v>
      </c>
      <c r="F56">
        <v>11.5</v>
      </c>
      <c r="G56">
        <v>0.96</v>
      </c>
      <c r="H56">
        <v>1.0900000000000001</v>
      </c>
      <c r="I56">
        <v>1.5</v>
      </c>
      <c r="J56">
        <v>3</v>
      </c>
      <c r="K56">
        <v>5</v>
      </c>
      <c r="L56" s="1">
        <f t="shared" si="2"/>
        <v>4.1037120069589204</v>
      </c>
      <c r="M56">
        <f t="shared" si="3"/>
        <v>0.79982376764441698</v>
      </c>
    </row>
    <row r="57" spans="1:13">
      <c r="A57">
        <v>2021</v>
      </c>
      <c r="B57">
        <v>6</v>
      </c>
      <c r="C57">
        <v>2</v>
      </c>
      <c r="D57">
        <v>12</v>
      </c>
      <c r="E57">
        <v>117.42</v>
      </c>
      <c r="F57">
        <v>1.28</v>
      </c>
      <c r="G57">
        <v>1.0900000000000001</v>
      </c>
      <c r="H57">
        <v>1.2</v>
      </c>
      <c r="I57">
        <v>1.5</v>
      </c>
      <c r="J57">
        <v>3</v>
      </c>
      <c r="K57">
        <v>2</v>
      </c>
      <c r="L57" s="1">
        <f t="shared" si="2"/>
        <v>1.42036489135162</v>
      </c>
      <c r="M57">
        <f t="shared" si="3"/>
        <v>0.795892430481419</v>
      </c>
    </row>
    <row r="58" spans="1:13">
      <c r="A58">
        <v>2021</v>
      </c>
      <c r="B58">
        <v>6</v>
      </c>
      <c r="C58">
        <v>2</v>
      </c>
      <c r="D58">
        <v>13</v>
      </c>
      <c r="E58">
        <v>113</v>
      </c>
      <c r="F58">
        <v>1.17</v>
      </c>
      <c r="G58">
        <v>1.23</v>
      </c>
      <c r="H58">
        <v>1.3</v>
      </c>
      <c r="I58">
        <v>1.5</v>
      </c>
      <c r="J58">
        <v>0</v>
      </c>
      <c r="K58">
        <v>0</v>
      </c>
      <c r="L58" s="1">
        <f t="shared" si="2"/>
        <v>1.0356173498494701</v>
      </c>
      <c r="M58">
        <f t="shared" si="3"/>
        <v>0.76593293003236596</v>
      </c>
    </row>
    <row r="59" spans="1:13">
      <c r="A59">
        <v>2021</v>
      </c>
      <c r="B59">
        <v>6</v>
      </c>
      <c r="C59">
        <v>2</v>
      </c>
      <c r="D59">
        <v>14</v>
      </c>
      <c r="E59">
        <v>117</v>
      </c>
      <c r="F59">
        <v>1.06</v>
      </c>
      <c r="G59">
        <v>1.36</v>
      </c>
      <c r="H59">
        <v>1.41</v>
      </c>
      <c r="I59">
        <v>0</v>
      </c>
      <c r="J59">
        <v>0</v>
      </c>
      <c r="K59">
        <v>0</v>
      </c>
      <c r="L59" s="1">
        <f t="shared" si="2"/>
        <v>0.86997028903236095</v>
      </c>
      <c r="M59">
        <f t="shared" si="3"/>
        <v>0.79304560012200698</v>
      </c>
    </row>
    <row r="60" spans="1:13">
      <c r="A60">
        <v>2021</v>
      </c>
      <c r="B60">
        <v>6</v>
      </c>
      <c r="C60">
        <v>2</v>
      </c>
      <c r="D60">
        <v>15</v>
      </c>
      <c r="E60">
        <v>117</v>
      </c>
      <c r="F60">
        <v>0.94</v>
      </c>
      <c r="G60">
        <v>1.49</v>
      </c>
      <c r="H60">
        <v>0</v>
      </c>
      <c r="I60">
        <v>0.33</v>
      </c>
      <c r="J60">
        <v>0</v>
      </c>
      <c r="K60">
        <v>0</v>
      </c>
      <c r="L60" s="1">
        <f t="shared" si="2"/>
        <v>0.70655411142930902</v>
      </c>
      <c r="M60">
        <f t="shared" si="3"/>
        <v>0.79304560012200698</v>
      </c>
    </row>
    <row r="61" spans="1:13">
      <c r="A61">
        <v>2021</v>
      </c>
      <c r="B61">
        <v>6</v>
      </c>
      <c r="C61">
        <v>2</v>
      </c>
      <c r="D61">
        <v>16</v>
      </c>
      <c r="E61">
        <v>134.22999999999999</v>
      </c>
      <c r="F61">
        <v>0.83</v>
      </c>
      <c r="G61">
        <v>1.62</v>
      </c>
      <c r="H61">
        <v>0.33</v>
      </c>
      <c r="I61">
        <v>0.67</v>
      </c>
      <c r="J61">
        <v>0</v>
      </c>
      <c r="K61">
        <v>0</v>
      </c>
      <c r="L61" s="1">
        <f t="shared" si="2"/>
        <v>0.81637098793674501</v>
      </c>
      <c r="M61">
        <f t="shared" si="3"/>
        <v>0.90983342653313704</v>
      </c>
    </row>
    <row r="62" spans="1:13">
      <c r="A62">
        <v>2021</v>
      </c>
      <c r="B62">
        <v>6</v>
      </c>
      <c r="C62">
        <v>2</v>
      </c>
      <c r="D62">
        <v>17</v>
      </c>
      <c r="E62">
        <v>136.44</v>
      </c>
      <c r="F62">
        <v>0.72</v>
      </c>
      <c r="G62">
        <v>1.75</v>
      </c>
      <c r="H62">
        <v>0.67</v>
      </c>
      <c r="I62">
        <v>1</v>
      </c>
      <c r="J62">
        <v>0.5</v>
      </c>
      <c r="K62">
        <v>0.67</v>
      </c>
      <c r="L62" s="1">
        <f t="shared" si="2"/>
        <v>1.0418485569093101</v>
      </c>
      <c r="M62">
        <f t="shared" si="3"/>
        <v>0.92481317675766395</v>
      </c>
    </row>
    <row r="63" spans="1:13">
      <c r="A63">
        <v>2021</v>
      </c>
      <c r="B63">
        <v>6</v>
      </c>
      <c r="C63">
        <v>2</v>
      </c>
      <c r="D63">
        <v>18</v>
      </c>
      <c r="E63">
        <v>108.61</v>
      </c>
      <c r="F63">
        <v>0</v>
      </c>
      <c r="G63">
        <v>0</v>
      </c>
      <c r="H63">
        <v>0</v>
      </c>
      <c r="I63">
        <v>0</v>
      </c>
      <c r="J63">
        <v>0</v>
      </c>
      <c r="K63">
        <v>1.33</v>
      </c>
      <c r="L63" s="1">
        <f t="shared" si="2"/>
        <v>0.18119824822026101</v>
      </c>
      <c r="M63">
        <f t="shared" si="3"/>
        <v>0.73617677460898401</v>
      </c>
    </row>
    <row r="64" spans="1:13">
      <c r="A64">
        <v>2021</v>
      </c>
      <c r="B64">
        <v>6</v>
      </c>
      <c r="C64">
        <v>2</v>
      </c>
      <c r="D64">
        <v>19</v>
      </c>
      <c r="E64">
        <v>131.53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1">
        <f t="shared" si="2"/>
        <v>0</v>
      </c>
      <c r="M64">
        <f t="shared" si="3"/>
        <v>0.89153237422262899</v>
      </c>
    </row>
    <row r="65" spans="1:13">
      <c r="A65">
        <v>2021</v>
      </c>
      <c r="B65">
        <v>6</v>
      </c>
      <c r="C65">
        <v>2</v>
      </c>
      <c r="D65">
        <v>20</v>
      </c>
      <c r="E65">
        <v>136.33000000000001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>
        <f t="shared" si="2"/>
        <v>0</v>
      </c>
      <c r="M65">
        <f t="shared" si="3"/>
        <v>0.92406757833019904</v>
      </c>
    </row>
    <row r="66" spans="1:13">
      <c r="A66">
        <v>2021</v>
      </c>
      <c r="B66">
        <v>6</v>
      </c>
      <c r="C66">
        <v>2</v>
      </c>
      <c r="D66">
        <v>21</v>
      </c>
      <c r="E66">
        <v>128.37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1">
        <f t="shared" si="2"/>
        <v>0</v>
      </c>
      <c r="M66">
        <f t="shared" si="3"/>
        <v>0.87011336485181201</v>
      </c>
    </row>
    <row r="67" spans="1:13">
      <c r="A67">
        <v>2021</v>
      </c>
      <c r="B67">
        <v>6</v>
      </c>
      <c r="C67">
        <v>2</v>
      </c>
      <c r="D67">
        <v>22</v>
      </c>
      <c r="E67">
        <v>115.15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1">
        <f t="shared" si="2"/>
        <v>0</v>
      </c>
      <c r="M67">
        <f t="shared" si="3"/>
        <v>0.78050599020554801</v>
      </c>
    </row>
    <row r="68" spans="1:13">
      <c r="A68">
        <v>2021</v>
      </c>
      <c r="B68">
        <v>6</v>
      </c>
      <c r="C68">
        <v>2</v>
      </c>
      <c r="D68">
        <v>23</v>
      </c>
      <c r="E68">
        <v>104.19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1">
        <f t="shared" si="2"/>
        <v>0</v>
      </c>
      <c r="M68">
        <f t="shared" si="3"/>
        <v>0.70621727415993096</v>
      </c>
    </row>
    <row r="69" spans="1:13">
      <c r="A69">
        <v>2021</v>
      </c>
      <c r="B69">
        <v>6</v>
      </c>
      <c r="C69">
        <v>3</v>
      </c>
      <c r="D69">
        <v>0</v>
      </c>
      <c r="E69">
        <v>102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f t="shared" ref="L69:L82" si="4">F69*$F$2+G69*$G$2+H69*$H$2+I69*$I$2+J69*$J$2+K69*$K$2</f>
        <v>0</v>
      </c>
      <c r="M69">
        <f t="shared" ref="M69:M82" si="5">E69*3600/(1000*$L$1)</f>
        <v>0.69137308728585201</v>
      </c>
    </row>
    <row r="70" spans="1:13">
      <c r="A70">
        <v>2021</v>
      </c>
      <c r="B70">
        <v>6</v>
      </c>
      <c r="C70">
        <v>3</v>
      </c>
      <c r="D70">
        <v>1</v>
      </c>
      <c r="E70">
        <v>101.55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1">
        <f t="shared" si="4"/>
        <v>0</v>
      </c>
      <c r="M70">
        <f t="shared" si="5"/>
        <v>0.688322911900768</v>
      </c>
    </row>
    <row r="71" spans="1:13">
      <c r="A71">
        <v>2021</v>
      </c>
      <c r="B71">
        <v>6</v>
      </c>
      <c r="C71">
        <v>3</v>
      </c>
      <c r="D71">
        <v>2</v>
      </c>
      <c r="E71">
        <v>99.17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1">
        <f t="shared" si="4"/>
        <v>0</v>
      </c>
      <c r="M71">
        <f t="shared" si="5"/>
        <v>0.67219087319743098</v>
      </c>
    </row>
    <row r="72" spans="1:13">
      <c r="A72">
        <v>2021</v>
      </c>
      <c r="B72">
        <v>6</v>
      </c>
      <c r="C72">
        <v>3</v>
      </c>
      <c r="D72">
        <v>3</v>
      </c>
      <c r="E72">
        <v>95.51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1">
        <f t="shared" si="4"/>
        <v>0</v>
      </c>
      <c r="M72">
        <f t="shared" si="5"/>
        <v>0.64738278006540895</v>
      </c>
    </row>
    <row r="73" spans="1:13">
      <c r="A73">
        <v>2021</v>
      </c>
      <c r="B73">
        <v>6</v>
      </c>
      <c r="C73">
        <v>3</v>
      </c>
      <c r="D73">
        <v>4</v>
      </c>
      <c r="E73">
        <v>91.23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1">
        <f t="shared" si="4"/>
        <v>0</v>
      </c>
      <c r="M73">
        <f t="shared" si="5"/>
        <v>0.61837222306949302</v>
      </c>
    </row>
    <row r="74" spans="1:13">
      <c r="A74">
        <v>2021</v>
      </c>
      <c r="B74">
        <v>6</v>
      </c>
      <c r="C74">
        <v>3</v>
      </c>
      <c r="D74">
        <v>5</v>
      </c>
      <c r="E74">
        <v>86.98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1">
        <f t="shared" si="4"/>
        <v>0</v>
      </c>
      <c r="M74">
        <f t="shared" si="5"/>
        <v>0.58956501109924897</v>
      </c>
    </row>
    <row r="75" spans="1:13">
      <c r="A75">
        <v>2021</v>
      </c>
      <c r="B75">
        <v>6</v>
      </c>
      <c r="C75">
        <v>3</v>
      </c>
      <c r="D75">
        <v>6</v>
      </c>
      <c r="E75">
        <v>83.43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1">
        <f t="shared" si="4"/>
        <v>0</v>
      </c>
      <c r="M75">
        <f t="shared" si="5"/>
        <v>0.56550251639469296</v>
      </c>
    </row>
    <row r="76" spans="1:13">
      <c r="A76">
        <v>2021</v>
      </c>
      <c r="B76">
        <v>6</v>
      </c>
      <c r="C76">
        <v>3</v>
      </c>
      <c r="D76">
        <v>7</v>
      </c>
      <c r="E76">
        <v>81.209999999999994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1">
        <f t="shared" si="4"/>
        <v>0</v>
      </c>
      <c r="M76">
        <f t="shared" si="5"/>
        <v>0.55045498449494201</v>
      </c>
    </row>
    <row r="77" spans="1:13">
      <c r="A77">
        <v>2021</v>
      </c>
      <c r="B77">
        <v>6</v>
      </c>
      <c r="C77">
        <v>3</v>
      </c>
      <c r="D77">
        <v>8</v>
      </c>
      <c r="E77">
        <v>81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1">
        <f t="shared" si="4"/>
        <v>0</v>
      </c>
      <c r="M77">
        <f t="shared" si="5"/>
        <v>0.549031569315236</v>
      </c>
    </row>
    <row r="78" spans="1:13">
      <c r="A78">
        <v>2021</v>
      </c>
      <c r="B78">
        <v>6</v>
      </c>
      <c r="C78">
        <v>3</v>
      </c>
      <c r="D78">
        <v>9</v>
      </c>
      <c r="E78">
        <v>82.16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f t="shared" si="4"/>
        <v>0</v>
      </c>
      <c r="M78">
        <f t="shared" si="5"/>
        <v>0.55689424364123197</v>
      </c>
    </row>
    <row r="79" spans="1:13">
      <c r="A79">
        <v>2021</v>
      </c>
      <c r="B79">
        <v>6</v>
      </c>
      <c r="C79">
        <v>3</v>
      </c>
      <c r="D79">
        <v>10</v>
      </c>
      <c r="E79">
        <v>79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1">
        <f t="shared" si="4"/>
        <v>0</v>
      </c>
      <c r="M79">
        <f t="shared" si="5"/>
        <v>0.53547523427041499</v>
      </c>
    </row>
    <row r="80" spans="1:13">
      <c r="A80">
        <v>2021</v>
      </c>
      <c r="B80">
        <v>6</v>
      </c>
      <c r="C80">
        <v>3</v>
      </c>
      <c r="D80">
        <v>11</v>
      </c>
      <c r="E80">
        <v>71.45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1">
        <f t="shared" si="4"/>
        <v>0</v>
      </c>
      <c r="M80">
        <f t="shared" si="5"/>
        <v>0.48430006947621701</v>
      </c>
    </row>
    <row r="81" spans="1:13">
      <c r="A81">
        <v>2021</v>
      </c>
      <c r="B81">
        <v>6</v>
      </c>
      <c r="C81">
        <v>3</v>
      </c>
      <c r="D81">
        <v>12</v>
      </c>
      <c r="E81">
        <v>25.7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1">
        <f t="shared" si="4"/>
        <v>0</v>
      </c>
      <c r="M81">
        <f t="shared" si="5"/>
        <v>0.17419890532594501</v>
      </c>
    </row>
    <row r="82" spans="1:13">
      <c r="A82">
        <v>2021</v>
      </c>
      <c r="B82">
        <v>6</v>
      </c>
      <c r="C82">
        <v>3</v>
      </c>
      <c r="D82">
        <v>13</v>
      </c>
      <c r="E82">
        <v>6.27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1">
        <f t="shared" si="4"/>
        <v>0</v>
      </c>
      <c r="M82">
        <f t="shared" si="5"/>
        <v>4.2499110365512703E-2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20070606 -数据</vt:lpstr>
      <vt:lpstr>20080612-数据</vt:lpstr>
      <vt:lpstr>20080625-数据</vt:lpstr>
      <vt:lpstr>20090423-数据</vt:lpstr>
      <vt:lpstr>20100421-数据</vt:lpstr>
      <vt:lpstr>20100614-数据</vt:lpstr>
      <vt:lpstr>201110512-数据</vt:lpstr>
      <vt:lpstr>20120416-数据</vt:lpstr>
      <vt:lpstr>20120621-数据</vt:lpstr>
      <vt:lpstr>20130405-数据</vt:lpstr>
      <vt:lpstr>20130515-数据</vt:lpstr>
      <vt:lpstr>20130520-数据</vt:lpstr>
      <vt:lpstr>20130815-数据</vt:lpstr>
      <vt:lpstr>20140602-数据</vt:lpstr>
      <vt:lpstr>20140814-数据</vt:lpstr>
      <vt:lpstr>20150509-数据</vt:lpstr>
      <vt:lpstr>20150522-数据</vt:lpstr>
      <vt:lpstr>20160612-数据</vt:lpstr>
      <vt:lpstr>20160812-数据</vt:lpstr>
      <vt:lpstr>20170606-数据</vt:lpstr>
      <vt:lpstr>20170615-数据</vt:lpstr>
      <vt:lpstr>20170904-数据</vt:lpstr>
      <vt:lpstr>20190426-数据</vt:lpstr>
      <vt:lpstr>20190613-数据</vt:lpstr>
      <vt:lpstr>20210531-数据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</dc:creator>
  <cp:lastModifiedBy>Think</cp:lastModifiedBy>
  <dcterms:created xsi:type="dcterms:W3CDTF">2015-06-05T18:19:00Z</dcterms:created>
  <dcterms:modified xsi:type="dcterms:W3CDTF">2026-03-30T07:55:30Z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EFC0FFED5D5E49BBA36BB3F3C66867F0_12</vt:lpwstr>
  </property>
  <property fmtid="{D5CDD505-2E9C-101B-9397-08002B2CF9AE}" pid="3" name="KSOProductBuildVer">
    <vt:lpwstr>2052-12.1.0.18912</vt:lpwstr>
  </property>
</Properties>
</file>